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松山紹介_補綴価格表" sheetId="1" state="visible" r:id="rId3"/>
    <sheet name="松山紹介_矯正価格表" sheetId="2" state="visible" r:id="rId4"/>
    <sheet name="損益分岐シミュレーション" sheetId="3" state="visible" r:id="rId5"/>
    <sheet name="運用ルール・確認事項"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WenQuanYi Zen Hei"/>
            <family val="2"/>
          </rPr>
          <t xml:space="preserve">当院の値引き下限（</t>
        </r>
        <r>
          <rPr>
            <sz val="10"/>
            <rFont val="Arial"/>
            <family val="2"/>
          </rPr>
          <t xml:space="preserve">20%OFF</t>
        </r>
        <r>
          <rPr>
            <sz val="10"/>
            <rFont val="WenQuanYi Zen Hei"/>
            <family val="2"/>
          </rPr>
          <t xml:space="preserve">）。これ以上は下げない。
出典：自費補綴 粗利表 </t>
        </r>
        <r>
          <rPr>
            <sz val="10"/>
            <rFont val="Arial"/>
            <family val="2"/>
          </rPr>
          <t xml:space="preserve">A19</t>
        </r>
        <r>
          <rPr>
            <sz val="10"/>
            <rFont val="WenQuanYi Zen Hei"/>
            <family val="2"/>
          </rPr>
          <t xml:space="preserve">「</t>
        </r>
        <r>
          <rPr>
            <sz val="10"/>
            <rFont val="Arial"/>
            <family val="2"/>
          </rPr>
          <t xml:space="preserve">20%OFF</t>
        </r>
        <r>
          <rPr>
            <sz val="10"/>
            <rFont val="WenQuanYi Zen Hei"/>
            <family val="2"/>
          </rPr>
          <t xml:space="preserve">しても全品目で粗利率</t>
        </r>
        <r>
          <rPr>
            <sz val="10"/>
            <rFont val="Arial"/>
            <family val="2"/>
          </rPr>
          <t xml:space="preserve">65%</t>
        </r>
        <r>
          <rPr>
            <sz val="10"/>
            <rFont val="WenQuanYi Zen Hei"/>
            <family val="2"/>
          </rPr>
          <t xml:space="preserve">以上を確保でき、原価割れは起きない」</t>
        </r>
      </text>
    </comment>
    <comment ref="C7" authorId="0">
      <text>
        <r>
          <rPr>
            <sz val="10"/>
            <rFont val="WenQuanYi Zen Hei"/>
            <family val="2"/>
          </rPr>
          <t xml:space="preserve">出典：自費補綴 粗利表 </t>
        </r>
        <r>
          <rPr>
            <sz val="10"/>
            <rFont val="Arial"/>
            <family val="2"/>
          </rPr>
          <t xml:space="preserve">A22</t>
        </r>
        <r>
          <rPr>
            <sz val="10"/>
            <rFont val="WenQuanYi Zen Hei"/>
            <family val="2"/>
          </rPr>
          <t xml:space="preserve">「</t>
        </r>
        <r>
          <rPr>
            <sz val="10"/>
            <rFont val="Arial"/>
            <family val="2"/>
          </rPr>
          <t xml:space="preserve">1</t>
        </r>
        <r>
          <rPr>
            <sz val="10"/>
            <rFont val="WenQuanYi Zen Hei"/>
            <family val="2"/>
          </rPr>
          <t xml:space="preserve">〜</t>
        </r>
        <r>
          <rPr>
            <sz val="10"/>
            <rFont val="Arial"/>
            <family val="2"/>
          </rPr>
          <t xml:space="preserve">2</t>
        </r>
        <r>
          <rPr>
            <sz val="10"/>
            <rFont val="WenQuanYi Zen Hei"/>
            <family val="2"/>
          </rPr>
          <t xml:space="preserve">本（単品）… 最大 </t>
        </r>
        <r>
          <rPr>
            <sz val="10"/>
            <rFont val="Arial"/>
            <family val="2"/>
          </rPr>
          <t xml:space="preserve">10%OFF</t>
        </r>
        <r>
          <rPr>
            <sz val="10"/>
            <rFont val="WenQuanYi Zen Hei"/>
            <family val="2"/>
          </rPr>
          <t xml:space="preserve">」
</t>
        </r>
        <r>
          <rPr>
            <sz val="10"/>
            <rFont val="Arial"/>
            <family val="2"/>
          </rPr>
          <t xml:space="preserve">I</t>
        </r>
        <r>
          <rPr>
            <sz val="10"/>
            <rFont val="WenQuanYi Zen Hei"/>
            <family val="2"/>
          </rPr>
          <t xml:space="preserve">列の『通常比の追加負担』を出すための比較基準。</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E6" authorId="0">
      <text>
        <r>
          <rPr>
            <sz val="10"/>
            <rFont val="WenQuanYi Zen Hei"/>
            <family val="2"/>
          </rPr>
          <t xml:space="preserve">出典：矯正</t>
        </r>
        <r>
          <rPr>
            <sz val="10"/>
            <rFont val="Arial"/>
            <family val="2"/>
          </rPr>
          <t xml:space="preserve">_</t>
        </r>
        <r>
          <rPr>
            <sz val="10"/>
            <rFont val="WenQuanYi Zen Hei"/>
            <family val="2"/>
          </rPr>
          <t xml:space="preserve">値引き価格表 </t>
        </r>
        <r>
          <rPr>
            <sz val="10"/>
            <rFont val="Arial"/>
            <family val="2"/>
          </rPr>
          <t xml:space="preserve">A58</t>
        </r>
        <r>
          <rPr>
            <sz val="10"/>
            <rFont val="WenQuanYi Zen Hei"/>
            <family val="2"/>
          </rPr>
          <t xml:space="preserve">「矯正検査診断料 </t>
        </r>
        <r>
          <rPr>
            <sz val="10"/>
            <rFont val="Arial"/>
            <family val="2"/>
          </rPr>
          <t xml:space="preserve">44,000</t>
        </r>
        <r>
          <rPr>
            <sz val="10"/>
            <rFont val="WenQuanYi Zen Hei"/>
            <family val="2"/>
          </rPr>
          <t xml:space="preserve">円（税込）はアラインへの支払いが無いため丸ごと利益」</t>
        </r>
      </text>
    </comment>
    <comment ref="E7" authorId="0">
      <text>
        <r>
          <rPr>
            <sz val="10"/>
            <rFont val="WenQuanYi Zen Hei"/>
            <family val="2"/>
          </rPr>
          <t xml:space="preserve">出典：矯正</t>
        </r>
        <r>
          <rPr>
            <sz val="10"/>
            <rFont val="Arial"/>
            <family val="2"/>
          </rPr>
          <t xml:space="preserve">_</t>
        </r>
        <r>
          <rPr>
            <sz val="10"/>
            <rFont val="WenQuanYi Zen Hei"/>
            <family val="2"/>
          </rPr>
          <t xml:space="preserve">値引き価格表 </t>
        </r>
        <r>
          <rPr>
            <sz val="10"/>
            <rFont val="Arial"/>
            <family val="2"/>
          </rPr>
          <t xml:space="preserve">A23</t>
        </r>
        <r>
          <rPr>
            <sz val="10"/>
            <rFont val="WenQuanYi Zen Hei"/>
            <family val="2"/>
          </rPr>
          <t xml:space="preserve">「右の［参考］</t>
        </r>
        <r>
          <rPr>
            <sz val="10"/>
            <rFont val="Arial"/>
            <family val="2"/>
          </rPr>
          <t xml:space="preserve">10%OFF</t>
        </r>
        <r>
          <rPr>
            <sz val="10"/>
            <rFont val="WenQuanYi Zen Hei"/>
            <family val="2"/>
          </rPr>
          <t xml:space="preserve">欄は、どうしても値引きが必要な場合の下限。これ以上は下げない。」
※本プランでは使わない。</t>
        </r>
        <r>
          <rPr>
            <sz val="10"/>
            <rFont val="Arial"/>
            <family val="2"/>
          </rPr>
          <t xml:space="preserve">L</t>
        </r>
        <r>
          <rPr>
            <sz val="10"/>
            <rFont val="WenQuanYi Zen Hei"/>
            <family val="2"/>
          </rPr>
          <t xml:space="preserve">列は比較のためだけに置いている。</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6" authorId="0">
      <text>
        <r>
          <rPr>
            <sz val="10"/>
            <rFont val="WenQuanYi Zen Hei"/>
            <family val="2"/>
          </rPr>
          <t xml:space="preserve">★仮置きの数値です。実際に松山翼様へお支払いしていた月額に必ず書き換えてください。
この</t>
        </r>
        <r>
          <rPr>
            <sz val="10"/>
            <rFont val="Arial"/>
            <family val="2"/>
          </rPr>
          <t xml:space="preserve">1</t>
        </r>
        <r>
          <rPr>
            <sz val="10"/>
            <rFont val="WenQuanYi Zen Hei"/>
            <family val="2"/>
          </rPr>
          <t xml:space="preserve">セルを直せば、下の損益分岐件数がすべて再計算されます。</t>
        </r>
      </text>
    </comment>
  </commentList>
</comments>
</file>

<file path=xl/sharedStrings.xml><?xml version="1.0" encoding="utf-8"?>
<sst xmlns="http://schemas.openxmlformats.org/spreadsheetml/2006/main" count="183" uniqueCount="173">
  <si>
    <t xml:space="preserve">松山翼様ご紹介プラン｜補綴（セラミック治療）価格表　※医院内部用・粗利つき</t>
  </si>
  <si>
    <r>
      <rPr>
        <sz val="9"/>
        <color rgb="FF666666"/>
        <rFont val="WenQuanYi Zen Hei"/>
        <family val="2"/>
      </rPr>
      <t xml:space="preserve">単位：円 ／ 定価＝患者請求</t>
    </r>
    <r>
      <rPr>
        <sz val="9"/>
        <color rgb="FF666666"/>
        <rFont val="游ゴシック"/>
        <family val="0"/>
        <charset val="1"/>
      </rPr>
      <t xml:space="preserve">(</t>
    </r>
    <r>
      <rPr>
        <sz val="9"/>
        <color rgb="FF666666"/>
        <rFont val="WenQuanYi Zen Hei"/>
        <family val="2"/>
      </rPr>
      <t xml:space="preserve">税込</t>
    </r>
    <r>
      <rPr>
        <sz val="9"/>
        <color rgb="FF666666"/>
        <rFont val="游ゴシック"/>
        <family val="0"/>
        <charset val="1"/>
      </rPr>
      <t xml:space="preserve">) </t>
    </r>
    <r>
      <rPr>
        <sz val="9"/>
        <color rgb="FF666666"/>
        <rFont val="WenQuanYi Zen Hei"/>
        <family val="2"/>
      </rPr>
      <t xml:space="preserve">／ 技工料＝技工所への支払</t>
    </r>
    <r>
      <rPr>
        <sz val="9"/>
        <color rgb="FF666666"/>
        <rFont val="游ゴシック"/>
        <family val="0"/>
        <charset val="1"/>
      </rPr>
      <t xml:space="preserve">(</t>
    </r>
    <r>
      <rPr>
        <sz val="9"/>
        <color rgb="FF666666"/>
        <rFont val="WenQuanYi Zen Hei"/>
        <family val="2"/>
      </rPr>
      <t xml:space="preserve">税別</t>
    </r>
    <r>
      <rPr>
        <sz val="9"/>
        <color rgb="FF666666"/>
        <rFont val="游ゴシック"/>
        <family val="0"/>
        <charset val="1"/>
      </rPr>
      <t xml:space="preserve">) </t>
    </r>
    <r>
      <rPr>
        <sz val="9"/>
        <color rgb="FF666666"/>
        <rFont val="WenQuanYi Zen Hei"/>
        <family val="2"/>
      </rPr>
      <t xml:space="preserve">／ 利益＝紹介価格−技工料 ／ 本数に関わらず一律</t>
    </r>
    <r>
      <rPr>
        <sz val="9"/>
        <color rgb="FF666666"/>
        <rFont val="游ゴシック"/>
        <family val="0"/>
        <charset val="1"/>
      </rPr>
      <t xml:space="preserve">20%OFF</t>
    </r>
    <r>
      <rPr>
        <sz val="9"/>
        <color rgb="FF666666"/>
        <rFont val="WenQuanYi Zen Hei"/>
        <family val="2"/>
      </rPr>
      <t xml:space="preserve">（＝当院の値引き下限を最初から適用）</t>
    </r>
  </si>
  <si>
    <r>
      <rPr>
        <sz val="9"/>
        <color rgb="FF666666"/>
        <rFont val="WenQuanYi Zen Hei"/>
        <family val="2"/>
      </rPr>
      <t xml:space="preserve">元データ：自費補綴 粗利表（本数によるまとめ割引 最大</t>
    </r>
    <r>
      <rPr>
        <sz val="9"/>
        <color rgb="FF666666"/>
        <rFont val="游ゴシック"/>
        <family val="0"/>
        <charset val="1"/>
      </rPr>
      <t xml:space="preserve">20%OFF</t>
    </r>
    <r>
      <rPr>
        <sz val="9"/>
        <color rgb="FF666666"/>
        <rFont val="WenQuanYi Zen Hei"/>
        <family val="2"/>
      </rPr>
      <t xml:space="preserve">・下限）。</t>
    </r>
    <r>
      <rPr>
        <sz val="9"/>
        <color rgb="FF666666"/>
        <rFont val="游ゴシック"/>
        <family val="0"/>
        <charset val="1"/>
      </rPr>
      <t xml:space="preserve">20%OFF</t>
    </r>
    <r>
      <rPr>
        <sz val="9"/>
        <color rgb="FF666666"/>
        <rFont val="WenQuanYi Zen Hei"/>
        <family val="2"/>
      </rPr>
      <t xml:space="preserve">は新設の値引きではなく、既存ルールの下限価格をそのまま紹介特典にしたもの。</t>
    </r>
  </si>
  <si>
    <t xml:space="preserve">【設定値】ここを変えると下表がすべて再計算されます（青字＝入力セル）</t>
  </si>
  <si>
    <t xml:space="preserve">松山翼様ご紹介の割引率（補綴）</t>
  </si>
  <si>
    <t xml:space="preserve">← 当院の値引き下限。これ以上は下げない</t>
  </si>
  <si>
    <r>
      <rPr>
        <sz val="11"/>
        <rFont val="WenQuanYi Zen Hei"/>
        <family val="2"/>
      </rPr>
      <t xml:space="preserve">［比較用］紹介なし・単品</t>
    </r>
    <r>
      <rPr>
        <sz val="11"/>
        <rFont val="游ゴシック"/>
        <family val="0"/>
        <charset val="1"/>
      </rPr>
      <t xml:space="preserve">1</t>
    </r>
    <r>
      <rPr>
        <sz val="11"/>
        <rFont val="WenQuanYi Zen Hei"/>
        <family val="2"/>
      </rPr>
      <t xml:space="preserve">〜</t>
    </r>
    <r>
      <rPr>
        <sz val="11"/>
        <rFont val="游ゴシック"/>
        <family val="0"/>
        <charset val="1"/>
      </rPr>
      <t xml:space="preserve">2</t>
    </r>
    <r>
      <rPr>
        <sz val="11"/>
        <rFont val="WenQuanYi Zen Hei"/>
        <family val="2"/>
      </rPr>
      <t xml:space="preserve">本のときに通常出せる割引率</t>
    </r>
  </si>
  <si>
    <r>
      <rPr>
        <sz val="9"/>
        <color rgb="FF666666"/>
        <rFont val="游ゴシック"/>
        <family val="0"/>
        <charset val="1"/>
      </rPr>
      <t xml:space="preserve">← I</t>
    </r>
    <r>
      <rPr>
        <sz val="9"/>
        <color rgb="FF666666"/>
        <rFont val="WenQuanYi Zen Hei"/>
        <family val="2"/>
      </rPr>
      <t xml:space="preserve">列（実質の追加負担）の計算基準</t>
    </r>
  </si>
  <si>
    <t xml:space="preserve">品目</t>
  </si>
  <si>
    <r>
      <rPr>
        <b val="true"/>
        <sz val="10"/>
        <color rgb="FFFFFFFF"/>
        <rFont val="WenQuanYi Zen Hei"/>
        <family val="2"/>
      </rPr>
      <t xml:space="preserve">定価</t>
    </r>
    <r>
      <rPr>
        <b val="true"/>
        <sz val="10"/>
        <color rgb="FFFFFFFF"/>
        <rFont val="游ゴシック"/>
        <family val="0"/>
        <charset val="1"/>
      </rPr>
      <t xml:space="preserve">(</t>
    </r>
    <r>
      <rPr>
        <b val="true"/>
        <sz val="10"/>
        <color rgb="FFFFFFFF"/>
        <rFont val="WenQuanYi Zen Hei"/>
        <family val="2"/>
      </rPr>
      <t xml:space="preserve">税込</t>
    </r>
    <r>
      <rPr>
        <b val="true"/>
        <sz val="10"/>
        <color rgb="FFFFFFFF"/>
        <rFont val="游ゴシック"/>
        <family val="0"/>
        <charset val="1"/>
      </rPr>
      <t xml:space="preserve">)</t>
    </r>
  </si>
  <si>
    <t xml:space="preserve">技工料</t>
  </si>
  <si>
    <r>
      <rPr>
        <b val="true"/>
        <sz val="10"/>
        <color rgb="FFFFFFFF"/>
        <rFont val="WenQuanYi Zen Hei"/>
        <family val="2"/>
      </rPr>
      <t xml:space="preserve">松山紹介価格
</t>
    </r>
    <r>
      <rPr>
        <b val="true"/>
        <sz val="10"/>
        <color rgb="FFFFFFFF"/>
        <rFont val="游ゴシック"/>
        <family val="0"/>
        <charset val="1"/>
      </rPr>
      <t xml:space="preserve">(20%OFF)</t>
    </r>
  </si>
  <si>
    <t xml:space="preserve">患者の割引額</t>
  </si>
  <si>
    <t xml:space="preserve">紹介時の利益</t>
  </si>
  <si>
    <t xml:space="preserve">紹介時の
粗利率</t>
  </si>
  <si>
    <r>
      <rPr>
        <b val="true"/>
        <sz val="10"/>
        <color rgb="FFFFFFFF"/>
        <rFont val="WenQuanYi Zen Hei"/>
        <family val="2"/>
      </rPr>
      <t xml:space="preserve">［比較］通常単品時
価格</t>
    </r>
    <r>
      <rPr>
        <b val="true"/>
        <sz val="10"/>
        <color rgb="FFFFFFFF"/>
        <rFont val="游ゴシック"/>
        <family val="0"/>
        <charset val="1"/>
      </rPr>
      <t xml:space="preserve">(10%OFF)</t>
    </r>
  </si>
  <si>
    <t xml:space="preserve">通常比の
医院追加負担</t>
  </si>
  <si>
    <t xml:space="preserve">備考</t>
  </si>
  <si>
    <r>
      <rPr>
        <b val="true"/>
        <sz val="11"/>
        <rFont val="WenQuanYi Zen Hei"/>
        <family val="2"/>
      </rPr>
      <t xml:space="preserve">■ 臼歯部（</t>
    </r>
    <r>
      <rPr>
        <b val="true"/>
        <sz val="11"/>
        <rFont val="游ゴシック"/>
        <family val="0"/>
        <charset val="1"/>
      </rPr>
      <t xml:space="preserve">YOZE</t>
    </r>
    <r>
      <rPr>
        <b val="true"/>
        <sz val="11"/>
        <rFont val="WenQuanYi Zen Hei"/>
        <family val="2"/>
      </rPr>
      <t xml:space="preserve">｜技工料 一律 </t>
    </r>
    <r>
      <rPr>
        <b val="true"/>
        <sz val="11"/>
        <rFont val="游ゴシック"/>
        <family val="0"/>
        <charset val="1"/>
      </rPr>
      <t xml:space="preserve">10,136</t>
    </r>
    <r>
      <rPr>
        <b val="true"/>
        <sz val="11"/>
        <rFont val="WenQuanYi Zen Hei"/>
        <family val="2"/>
      </rPr>
      <t xml:space="preserve">円＝</t>
    </r>
    <r>
      <rPr>
        <b val="true"/>
        <sz val="11"/>
        <rFont val="游ゴシック"/>
        <family val="0"/>
        <charset val="1"/>
      </rPr>
      <t xml:space="preserve">10,000</t>
    </r>
    <r>
      <rPr>
        <b val="true"/>
        <sz val="11"/>
        <rFont val="WenQuanYi Zen Hei"/>
        <family val="2"/>
      </rPr>
      <t xml:space="preserve">＋ベースアップ評価料</t>
    </r>
    <r>
      <rPr>
        <b val="true"/>
        <sz val="11"/>
        <rFont val="游ゴシック"/>
        <family val="0"/>
        <charset val="1"/>
      </rPr>
      <t xml:space="preserve">136</t>
    </r>
    <r>
      <rPr>
        <b val="true"/>
        <sz val="11"/>
        <rFont val="WenQuanYi Zen Hei"/>
        <family val="2"/>
      </rPr>
      <t xml:space="preserve">）</t>
    </r>
  </si>
  <si>
    <t xml:space="preserve">フルジルコニアクラウン</t>
  </si>
  <si>
    <r>
      <rPr>
        <sz val="9"/>
        <rFont val="游ゴシック"/>
        <family val="0"/>
        <charset val="1"/>
      </rPr>
      <t xml:space="preserve">iTero</t>
    </r>
    <r>
      <rPr>
        <sz val="9"/>
        <rFont val="WenQuanYi Zen Hei"/>
        <family val="2"/>
      </rPr>
      <t xml:space="preserve">送信の</t>
    </r>
    <r>
      <rPr>
        <sz val="9"/>
        <rFont val="游ゴシック"/>
        <family val="0"/>
        <charset val="1"/>
      </rPr>
      <t xml:space="preserve">CAD</t>
    </r>
    <r>
      <rPr>
        <sz val="9"/>
        <rFont val="WenQuanYi Zen Hei"/>
        <family val="2"/>
      </rPr>
      <t xml:space="preserve">製作なら技工料 −</t>
    </r>
    <r>
      <rPr>
        <sz val="9"/>
        <rFont val="游ゴシック"/>
        <family val="0"/>
        <charset val="1"/>
      </rPr>
      <t xml:space="preserve">1,000</t>
    </r>
    <r>
      <rPr>
        <sz val="9"/>
        <rFont val="WenQuanYi Zen Hei"/>
        <family val="2"/>
      </rPr>
      <t xml:space="preserve">円（利益さらに</t>
    </r>
    <r>
      <rPr>
        <sz val="9"/>
        <rFont val="游ゴシック"/>
        <family val="0"/>
        <charset val="1"/>
      </rPr>
      <t xml:space="preserve">+1,000</t>
    </r>
    <r>
      <rPr>
        <sz val="9"/>
        <rFont val="WenQuanYi Zen Hei"/>
        <family val="2"/>
      </rPr>
      <t xml:space="preserve">）</t>
    </r>
  </si>
  <si>
    <r>
      <rPr>
        <sz val="11"/>
        <rFont val="游ゴシック"/>
        <family val="0"/>
        <charset val="1"/>
      </rPr>
      <t xml:space="preserve">e-max</t>
    </r>
    <r>
      <rPr>
        <sz val="11"/>
        <rFont val="WenQuanYi Zen Hei"/>
        <family val="2"/>
      </rPr>
      <t xml:space="preserve">クラウン</t>
    </r>
  </si>
  <si>
    <t xml:space="preserve">フルジルコニアインレー</t>
  </si>
  <si>
    <r>
      <rPr>
        <sz val="11"/>
        <rFont val="游ゴシック"/>
        <family val="0"/>
        <charset val="1"/>
      </rPr>
      <t xml:space="preserve">e-max</t>
    </r>
    <r>
      <rPr>
        <sz val="11"/>
        <rFont val="WenQuanYi Zen Hei"/>
        <family val="2"/>
      </rPr>
      <t xml:space="preserve">インレー</t>
    </r>
  </si>
  <si>
    <r>
      <rPr>
        <b val="true"/>
        <sz val="11"/>
        <rFont val="WenQuanYi Zen Hei"/>
        <family val="2"/>
      </rPr>
      <t xml:space="preserve">■ 前歯部（ティーラボ｜レイヤリング</t>
    </r>
    <r>
      <rPr>
        <b val="true"/>
        <sz val="11"/>
        <rFont val="游ゴシック"/>
        <family val="0"/>
        <charset val="1"/>
      </rPr>
      <t xml:space="preserve">27,000</t>
    </r>
    <r>
      <rPr>
        <b val="true"/>
        <sz val="11"/>
        <rFont val="WenQuanYi Zen Hei"/>
        <family val="2"/>
      </rPr>
      <t xml:space="preserve">／単色ステイン</t>
    </r>
    <r>
      <rPr>
        <b val="true"/>
        <sz val="11"/>
        <rFont val="游ゴシック"/>
        <family val="0"/>
        <charset val="1"/>
      </rPr>
      <t xml:space="preserve">19,000</t>
    </r>
    <r>
      <rPr>
        <b val="true"/>
        <sz val="11"/>
        <rFont val="WenQuanYi Zen Hei"/>
        <family val="2"/>
      </rPr>
      <t xml:space="preserve">／ベニア</t>
    </r>
    <r>
      <rPr>
        <b val="true"/>
        <sz val="11"/>
        <rFont val="游ゴシック"/>
        <family val="0"/>
        <charset val="1"/>
      </rPr>
      <t xml:space="preserve">16,000</t>
    </r>
    <r>
      <rPr>
        <b val="true"/>
        <sz val="11"/>
        <rFont val="WenQuanYi Zen Hei"/>
        <family val="2"/>
      </rPr>
      <t xml:space="preserve">）</t>
    </r>
  </si>
  <si>
    <r>
      <rPr>
        <sz val="11"/>
        <rFont val="WenQuanYi Zen Hei"/>
        <family val="2"/>
      </rPr>
      <t xml:space="preserve">ジルコニアセラミック </t>
    </r>
    <r>
      <rPr>
        <sz val="11"/>
        <rFont val="游ゴシック"/>
        <family val="0"/>
        <charset val="1"/>
      </rPr>
      <t xml:space="preserve">S</t>
    </r>
    <r>
      <rPr>
        <sz val="11"/>
        <rFont val="WenQuanYi Zen Hei"/>
        <family val="2"/>
      </rPr>
      <t xml:space="preserve">級</t>
    </r>
  </si>
  <si>
    <t xml:space="preserve">レイヤリング（盛り・グラデーション）</t>
  </si>
  <si>
    <t xml:space="preserve">ジルコニアセラミック ノーマル</t>
  </si>
  <si>
    <t xml:space="preserve">単色ステイン</t>
  </si>
  <si>
    <t xml:space="preserve">ラミネートベニア</t>
  </si>
  <si>
    <r>
      <rPr>
        <sz val="9"/>
        <rFont val="游ゴシック"/>
        <family val="0"/>
        <charset val="1"/>
      </rPr>
      <t xml:space="preserve">Zr</t>
    </r>
    <r>
      <rPr>
        <sz val="9"/>
        <rFont val="WenQuanYi Zen Hei"/>
        <family val="2"/>
      </rPr>
      <t xml:space="preserve">ベニア／</t>
    </r>
    <r>
      <rPr>
        <sz val="9"/>
        <rFont val="游ゴシック"/>
        <family val="0"/>
        <charset val="1"/>
      </rPr>
      <t xml:space="preserve">e.max</t>
    </r>
    <r>
      <rPr>
        <sz val="9"/>
        <rFont val="WenQuanYi Zen Hei"/>
        <family val="2"/>
      </rPr>
      <t xml:space="preserve">ベニア</t>
    </r>
  </si>
  <si>
    <t xml:space="preserve">スーパーエナメル</t>
  </si>
  <si>
    <r>
      <rPr>
        <sz val="9"/>
        <rFont val="WenQuanYi Zen Hei"/>
        <family val="2"/>
      </rPr>
      <t xml:space="preserve">レイヤリング。</t>
    </r>
    <r>
      <rPr>
        <sz val="9"/>
        <rFont val="游ゴシック"/>
        <family val="0"/>
        <charset val="1"/>
      </rPr>
      <t xml:space="preserve">20%OFF</t>
    </r>
    <r>
      <rPr>
        <sz val="9"/>
        <rFont val="WenQuanYi Zen Hei"/>
        <family val="2"/>
      </rPr>
      <t xml:space="preserve">時の粗利率が全品目で最低。連冠時は特に注意</t>
    </r>
  </si>
  <si>
    <r>
      <rPr>
        <sz val="11"/>
        <rFont val="游ゴシック"/>
        <family val="0"/>
        <charset val="1"/>
      </rPr>
      <t xml:space="preserve">e-max</t>
    </r>
    <r>
      <rPr>
        <sz val="11"/>
        <rFont val="WenQuanYi Zen Hei"/>
        <family val="2"/>
      </rPr>
      <t xml:space="preserve">クラウン（前歯）</t>
    </r>
  </si>
  <si>
    <t xml:space="preserve">単色</t>
  </si>
  <si>
    <t xml:space="preserve">この価格表の読み方</t>
  </si>
  <si>
    <r>
      <rPr>
        <sz val="10"/>
        <rFont val="游ゴシック"/>
        <family val="0"/>
        <charset val="1"/>
      </rPr>
      <t xml:space="preserve">◆ D</t>
    </r>
    <r>
      <rPr>
        <sz val="10"/>
        <rFont val="WenQuanYi Zen Hei"/>
        <family val="2"/>
      </rPr>
      <t xml:space="preserve">列＝松山翼様ご紹介の方に提示する価格。</t>
    </r>
    <r>
      <rPr>
        <sz val="10"/>
        <rFont val="游ゴシック"/>
        <family val="0"/>
        <charset val="1"/>
      </rPr>
      <t xml:space="preserve">1</t>
    </r>
    <r>
      <rPr>
        <sz val="10"/>
        <rFont val="WenQuanYi Zen Hei"/>
        <family val="2"/>
      </rPr>
      <t xml:space="preserve">本からこの価格で、本数による条件なし。</t>
    </r>
  </si>
  <si>
    <r>
      <rPr>
        <sz val="10"/>
        <rFont val="游ゴシック"/>
        <family val="0"/>
        <charset val="1"/>
      </rPr>
      <t xml:space="preserve">◆ I</t>
    </r>
    <r>
      <rPr>
        <sz val="10"/>
        <rFont val="WenQuanYi Zen Hei"/>
        <family val="2"/>
      </rPr>
      <t xml:space="preserve">列＝この制度の「本当のコスト」。紹介がなくても単品で</t>
    </r>
    <r>
      <rPr>
        <sz val="10"/>
        <rFont val="游ゴシック"/>
        <family val="0"/>
        <charset val="1"/>
      </rPr>
      <t xml:space="preserve">10%OFF</t>
    </r>
    <r>
      <rPr>
        <sz val="10"/>
        <rFont val="WenQuanYi Zen Hei"/>
        <family val="2"/>
      </rPr>
      <t xml:space="preserve">は出しているので、医院が新たに負担するのは定価の</t>
    </r>
    <r>
      <rPr>
        <sz val="10"/>
        <rFont val="游ゴシック"/>
        <family val="0"/>
        <charset val="1"/>
      </rPr>
      <t xml:space="preserve">10%</t>
    </r>
    <r>
      <rPr>
        <sz val="10"/>
        <rFont val="WenQuanYi Zen Hei"/>
        <family val="2"/>
      </rPr>
      <t xml:space="preserve">分だけ。</t>
    </r>
  </si>
  <si>
    <r>
      <rPr>
        <sz val="10"/>
        <rFont val="游ゴシック"/>
        <family val="0"/>
        <charset val="1"/>
      </rPr>
      <t xml:space="preserve">◆ 20%OFF</t>
    </r>
    <r>
      <rPr>
        <sz val="10"/>
        <rFont val="WenQuanYi Zen Hei"/>
        <family val="2"/>
      </rPr>
      <t xml:space="preserve">でも粗利率は</t>
    </r>
    <r>
      <rPr>
        <sz val="10"/>
        <rFont val="游ゴシック"/>
        <family val="0"/>
        <charset val="1"/>
      </rPr>
      <t xml:space="preserve">65.9</t>
    </r>
    <r>
      <rPr>
        <sz val="10"/>
        <rFont val="WenQuanYi Zen Hei"/>
        <family val="2"/>
      </rPr>
      <t xml:space="preserve">〜</t>
    </r>
    <r>
      <rPr>
        <sz val="10"/>
        <rFont val="游ゴシック"/>
        <family val="0"/>
        <charset val="1"/>
      </rPr>
      <t xml:space="preserve">87.2%</t>
    </r>
    <r>
      <rPr>
        <sz val="10"/>
        <rFont val="WenQuanYi Zen Hei"/>
        <family val="2"/>
      </rPr>
      <t xml:space="preserve">を確保。原価割れは起きない（元データの下限ルールと同じ）。</t>
    </r>
  </si>
  <si>
    <r>
      <rPr>
        <sz val="10"/>
        <color rgb="FFC00000"/>
        <rFont val="WenQuanYi Zen Hei"/>
        <family val="2"/>
      </rPr>
      <t xml:space="preserve">◆ 連冠（ブリッジ状に連なる前歯）のレイヤリングは技工料が</t>
    </r>
    <r>
      <rPr>
        <sz val="10"/>
        <color rgb="FFC00000"/>
        <rFont val="游ゴシック"/>
        <family val="0"/>
        <charset val="1"/>
      </rPr>
      <t xml:space="preserve">1</t>
    </r>
    <r>
      <rPr>
        <sz val="10"/>
        <color rgb="FFC00000"/>
        <rFont val="WenQuanYi Zen Hei"/>
        <family val="2"/>
      </rPr>
      <t xml:space="preserve">歯につき</t>
    </r>
    <r>
      <rPr>
        <sz val="10"/>
        <color rgb="FFC00000"/>
        <rFont val="游ゴシック"/>
        <family val="0"/>
        <charset val="1"/>
      </rPr>
      <t xml:space="preserve">+2,000</t>
    </r>
    <r>
      <rPr>
        <sz val="10"/>
        <color rgb="FFC00000"/>
        <rFont val="WenQuanYi Zen Hei"/>
        <family val="2"/>
      </rPr>
      <t xml:space="preserve">円。スーパーエナメル</t>
    </r>
    <r>
      <rPr>
        <sz val="10"/>
        <color rgb="FFC00000"/>
        <rFont val="游ゴシック"/>
        <family val="0"/>
        <charset val="1"/>
      </rPr>
      <t xml:space="preserve">6</t>
    </r>
    <r>
      <rPr>
        <sz val="10"/>
        <color rgb="FFC00000"/>
        <rFont val="WenQuanYi Zen Hei"/>
        <family val="2"/>
      </rPr>
      <t xml:space="preserve">本連冠＝技工</t>
    </r>
    <r>
      <rPr>
        <sz val="10"/>
        <color rgb="FFC00000"/>
        <rFont val="游ゴシック"/>
        <family val="0"/>
        <charset val="1"/>
      </rPr>
      <t xml:space="preserve">29,000/</t>
    </r>
    <r>
      <rPr>
        <sz val="10"/>
        <color rgb="FFC00000"/>
        <rFont val="WenQuanYi Zen Hei"/>
        <family val="2"/>
      </rPr>
      <t xml:space="preserve">歯 → </t>
    </r>
    <r>
      <rPr>
        <sz val="10"/>
        <color rgb="FFC00000"/>
        <rFont val="游ゴシック"/>
        <family val="0"/>
        <charset val="1"/>
      </rPr>
      <t xml:space="preserve">20%OFF</t>
    </r>
    <r>
      <rPr>
        <sz val="10"/>
        <color rgb="FFC00000"/>
        <rFont val="WenQuanYi Zen Hei"/>
        <family val="2"/>
      </rPr>
      <t xml:space="preserve">時の利益</t>
    </r>
    <r>
      <rPr>
        <sz val="10"/>
        <color rgb="FFC00000"/>
        <rFont val="游ゴシック"/>
        <family val="0"/>
        <charset val="1"/>
      </rPr>
      <t xml:space="preserve">50,200</t>
    </r>
    <r>
      <rPr>
        <sz val="10"/>
        <color rgb="FFC00000"/>
        <rFont val="WenQuanYi Zen Hei"/>
        <family val="2"/>
      </rPr>
      <t xml:space="preserve">円・粗利率</t>
    </r>
    <r>
      <rPr>
        <sz val="10"/>
        <color rgb="FFC00000"/>
        <rFont val="游ゴシック"/>
        <family val="0"/>
        <charset val="1"/>
      </rPr>
      <t xml:space="preserve">63.4%</t>
    </r>
    <r>
      <rPr>
        <sz val="10"/>
        <color rgb="FFC00000"/>
        <rFont val="WenQuanYi Zen Hei"/>
        <family val="2"/>
      </rPr>
      <t xml:space="preserve">まで下がる。</t>
    </r>
  </si>
  <si>
    <r>
      <rPr>
        <sz val="10"/>
        <rFont val="WenQuanYi Zen Hei"/>
        <family val="2"/>
      </rPr>
      <t xml:space="preserve">◆ ハイブリッドセラミッククラウンは扱い無しのため本表に無し。ジルコニア単色ステイン無し（今後</t>
    </r>
    <r>
      <rPr>
        <sz val="10"/>
        <rFont val="游ゴシック"/>
        <family val="0"/>
        <charset val="1"/>
      </rPr>
      <t xml:space="preserve">12,000</t>
    </r>
    <r>
      <rPr>
        <sz val="10"/>
        <rFont val="WenQuanYi Zen Hei"/>
        <family val="2"/>
      </rPr>
      <t xml:space="preserve">円ほどで対応予定）も未確定のため未掲載。</t>
    </r>
  </si>
  <si>
    <t xml:space="preserve">前提（元データと同じ）</t>
  </si>
  <si>
    <r>
      <rPr>
        <sz val="10"/>
        <rFont val="WenQuanYi Zen Hei"/>
        <family val="2"/>
      </rPr>
      <t xml:space="preserve">◆ 利益＝紹介価格</t>
    </r>
    <r>
      <rPr>
        <sz val="10"/>
        <rFont val="游ゴシック"/>
        <family val="0"/>
        <charset val="1"/>
      </rPr>
      <t xml:space="preserve">(</t>
    </r>
    <r>
      <rPr>
        <sz val="10"/>
        <rFont val="WenQuanYi Zen Hei"/>
        <family val="2"/>
      </rPr>
      <t xml:space="preserve">税込</t>
    </r>
    <r>
      <rPr>
        <sz val="10"/>
        <rFont val="游ゴシック"/>
        <family val="0"/>
        <charset val="1"/>
      </rPr>
      <t xml:space="preserve">)−</t>
    </r>
    <r>
      <rPr>
        <sz val="10"/>
        <rFont val="WenQuanYi Zen Hei"/>
        <family val="2"/>
      </rPr>
      <t xml:space="preserve">技工料</t>
    </r>
    <r>
      <rPr>
        <sz val="10"/>
        <rFont val="游ゴシック"/>
        <family val="0"/>
        <charset val="1"/>
      </rPr>
      <t xml:space="preserve">(</t>
    </r>
    <r>
      <rPr>
        <sz val="10"/>
        <rFont val="WenQuanYi Zen Hei"/>
        <family val="2"/>
      </rPr>
      <t xml:space="preserve">税別</t>
    </r>
    <r>
      <rPr>
        <sz val="10"/>
        <rFont val="游ゴシック"/>
        <family val="0"/>
        <charset val="1"/>
      </rPr>
      <t xml:space="preserve">)</t>
    </r>
    <r>
      <rPr>
        <sz val="10"/>
        <rFont val="WenQuanYi Zen Hei"/>
        <family val="2"/>
      </rPr>
      <t xml:space="preserve">の簡易計算。消費税の納税分・材料費・チェアタイムは考慮していない。</t>
    </r>
  </si>
  <si>
    <t xml:space="preserve">◆ 実際の手取りは、上表の利益から消費税納税分と院内コストを引いた額になる。</t>
  </si>
  <si>
    <t xml:space="preserve">松山翼様ご紹介プラン｜矯正（インビザライン）価格表　※医院内部用・粗利つき</t>
  </si>
  <si>
    <r>
      <rPr>
        <sz val="9"/>
        <color rgb="FF666666"/>
        <rFont val="WenQuanYi Zen Hei"/>
        <family val="2"/>
      </rPr>
      <t xml:space="preserve">単位：円 ／ 矯正は【①矯正治療費】と【②矯正検査診断料】の別建て請求。紹介特典は②のみ無料にするもので、①のパッケージ価格は</t>
    </r>
    <r>
      <rPr>
        <sz val="9"/>
        <color rgb="FF666666"/>
        <rFont val="游ゴシック"/>
        <family val="0"/>
        <charset val="1"/>
      </rPr>
      <t xml:space="preserve">1</t>
    </r>
    <r>
      <rPr>
        <sz val="9"/>
        <color rgb="FF666666"/>
        <rFont val="WenQuanYi Zen Hei"/>
        <family val="2"/>
      </rPr>
      <t xml:space="preserve">円も下げない。</t>
    </r>
  </si>
  <si>
    <r>
      <rPr>
        <sz val="9"/>
        <color rgb="FF666666"/>
        <rFont val="WenQuanYi Zen Hei"/>
        <family val="2"/>
      </rPr>
      <t xml:space="preserve">根拠：元データ 矯正</t>
    </r>
    <r>
      <rPr>
        <sz val="9"/>
        <color rgb="FF666666"/>
        <rFont val="游ゴシック"/>
        <family val="0"/>
        <charset val="1"/>
      </rPr>
      <t xml:space="preserve">_</t>
    </r>
    <r>
      <rPr>
        <sz val="9"/>
        <color rgb="FF666666"/>
        <rFont val="WenQuanYi Zen Hei"/>
        <family val="2"/>
      </rPr>
      <t xml:space="preserve">値引き価格表 </t>
    </r>
    <r>
      <rPr>
        <sz val="9"/>
        <color rgb="FF666666"/>
        <rFont val="游ゴシック"/>
        <family val="0"/>
        <charset val="1"/>
      </rPr>
      <t xml:space="preserve">A25</t>
    </r>
    <r>
      <rPr>
        <sz val="9"/>
        <color rgb="FF666666"/>
        <rFont val="WenQuanYi Zen Hei"/>
        <family val="2"/>
      </rPr>
      <t xml:space="preserve">「値引きを求められた場合は、価格を下げるより矯正検査診断料</t>
    </r>
    <r>
      <rPr>
        <sz val="9"/>
        <color rgb="FF666666"/>
        <rFont val="游ゴシック"/>
        <family val="0"/>
        <charset val="1"/>
      </rPr>
      <t xml:space="preserve">44,000</t>
    </r>
    <r>
      <rPr>
        <sz val="9"/>
        <color rgb="FF666666"/>
        <rFont val="WenQuanYi Zen Hei"/>
        <family val="2"/>
      </rPr>
      <t xml:space="preserve">円（原価ゼロ）を無料にするほうが医院の負担が小さい」</t>
    </r>
  </si>
  <si>
    <t xml:space="preserve">【設定値】（青字＝入力セル）</t>
  </si>
  <si>
    <t xml:space="preserve">無料にする矯正検査診断料（税込・アラインへの支払いなし＝丸ごと利益）</t>
  </si>
  <si>
    <t xml:space="preserve">［比較用］どうしても値引きする場合の下限割引率</t>
  </si>
  <si>
    <r>
      <rPr>
        <b val="true"/>
        <sz val="10"/>
        <color rgb="FFFFFFFF"/>
        <rFont val="WenQuanYi Zen Hei"/>
        <family val="2"/>
      </rPr>
      <t xml:space="preserve">①矯正治療費
</t>
    </r>
    <r>
      <rPr>
        <b val="true"/>
        <sz val="10"/>
        <color rgb="FFFFFFFF"/>
        <rFont val="游ゴシック"/>
        <family val="0"/>
        <charset val="1"/>
      </rPr>
      <t xml:space="preserve">(</t>
    </r>
    <r>
      <rPr>
        <b val="true"/>
        <sz val="10"/>
        <color rgb="FFFFFFFF"/>
        <rFont val="WenQuanYi Zen Hei"/>
        <family val="2"/>
      </rPr>
      <t xml:space="preserve">税込・据え置き</t>
    </r>
    <r>
      <rPr>
        <b val="true"/>
        <sz val="10"/>
        <color rgb="FFFFFFFF"/>
        <rFont val="游ゴシック"/>
        <family val="0"/>
        <charset val="1"/>
      </rPr>
      <t xml:space="preserve">)</t>
    </r>
  </si>
  <si>
    <r>
      <rPr>
        <b val="true"/>
        <sz val="10"/>
        <color rgb="FFFFFFFF"/>
        <rFont val="WenQuanYi Zen Hei"/>
        <family val="2"/>
      </rPr>
      <t xml:space="preserve">パッケージ
</t>
    </r>
    <r>
      <rPr>
        <b val="true"/>
        <sz val="10"/>
        <color rgb="FFFFFFFF"/>
        <rFont val="游ゴシック"/>
        <family val="0"/>
        <charset val="1"/>
      </rPr>
      <t xml:space="preserve">22%OFF</t>
    </r>
    <r>
      <rPr>
        <b val="true"/>
        <sz val="10"/>
        <color rgb="FFFFFFFF"/>
        <rFont val="WenQuanYi Zen Hei"/>
        <family val="2"/>
      </rPr>
      <t xml:space="preserve">後</t>
    </r>
  </si>
  <si>
    <r>
      <rPr>
        <b val="true"/>
        <sz val="10"/>
        <color rgb="FFFFFFFF"/>
        <rFont val="WenQuanYi Zen Hei"/>
        <family val="2"/>
      </rPr>
      <t xml:space="preserve">手数料
</t>
    </r>
    <r>
      <rPr>
        <b val="true"/>
        <sz val="10"/>
        <color rgb="FFFFFFFF"/>
        <rFont val="游ゴシック"/>
        <family val="0"/>
        <charset val="1"/>
      </rPr>
      <t xml:space="preserve">(</t>
    </r>
    <r>
      <rPr>
        <b val="true"/>
        <sz val="10"/>
        <color rgb="FFFFFFFF"/>
        <rFont val="WenQuanYi Zen Hei"/>
        <family val="2"/>
      </rPr>
      <t xml:space="preserve">割引なし</t>
    </r>
    <r>
      <rPr>
        <b val="true"/>
        <sz val="10"/>
        <color rgb="FFFFFFFF"/>
        <rFont val="游ゴシック"/>
        <family val="0"/>
        <charset val="1"/>
      </rPr>
      <t xml:space="preserve">)</t>
    </r>
  </si>
  <si>
    <r>
      <rPr>
        <b val="true"/>
        <sz val="10"/>
        <color rgb="FFFFFFFF"/>
        <rFont val="WenQuanYi Zen Hei"/>
        <family val="2"/>
      </rPr>
      <t xml:space="preserve">ビベラ</t>
    </r>
    <r>
      <rPr>
        <b val="true"/>
        <sz val="10"/>
        <color rgb="FFFFFFFF"/>
        <rFont val="游ゴシック"/>
        <family val="0"/>
        <charset val="1"/>
      </rPr>
      <t xml:space="preserve">1set
(</t>
    </r>
    <r>
      <rPr>
        <b val="true"/>
        <sz val="10"/>
        <color rgb="FFFFFFFF"/>
        <rFont val="WenQuanYi Zen Hei"/>
        <family val="2"/>
      </rPr>
      <t xml:space="preserve">割引なし</t>
    </r>
    <r>
      <rPr>
        <b val="true"/>
        <sz val="10"/>
        <color rgb="FFFFFFFF"/>
        <rFont val="游ゴシック"/>
        <family val="0"/>
        <charset val="1"/>
      </rPr>
      <t xml:space="preserve">)</t>
    </r>
  </si>
  <si>
    <t xml:space="preserve">原価合計</t>
  </si>
  <si>
    <r>
      <rPr>
        <b val="true"/>
        <sz val="10"/>
        <color rgb="FFFFFFFF"/>
        <rFont val="WenQuanYi Zen Hei"/>
        <family val="2"/>
      </rPr>
      <t xml:space="preserve">通常時の請求額
①</t>
    </r>
    <r>
      <rPr>
        <b val="true"/>
        <sz val="10"/>
        <color rgb="FFFFFFFF"/>
        <rFont val="游ゴシック"/>
        <family val="0"/>
        <charset val="1"/>
      </rPr>
      <t xml:space="preserve">+②</t>
    </r>
  </si>
  <si>
    <t xml:space="preserve">松山紹介の請求額
①のみ</t>
  </si>
  <si>
    <t xml:space="preserve">②矯正検査診断料
→無料にする額</t>
  </si>
  <si>
    <t xml:space="preserve">請求総額に対する
実質割引率</t>
  </si>
  <si>
    <r>
      <rPr>
        <b val="true"/>
        <sz val="10"/>
        <color rgb="FFFFFFFF"/>
        <rFont val="WenQuanYi Zen Hei"/>
        <family val="2"/>
      </rPr>
      <t xml:space="preserve">［比較］治療費を</t>
    </r>
    <r>
      <rPr>
        <b val="true"/>
        <sz val="10"/>
        <color rgb="FFFFFFFF"/>
        <rFont val="游ゴシック"/>
        <family val="0"/>
        <charset val="1"/>
      </rPr>
      <t xml:space="preserve">10%OFF
</t>
    </r>
    <r>
      <rPr>
        <b val="true"/>
        <sz val="10"/>
        <color rgb="FFFFFFFF"/>
        <rFont val="WenQuanYi Zen Hei"/>
        <family val="2"/>
      </rPr>
      <t xml:space="preserve">にした場合の値引額</t>
    </r>
  </si>
  <si>
    <r>
      <rPr>
        <b val="true"/>
        <sz val="11"/>
        <rFont val="WenQuanYi Zen Hei"/>
        <family val="2"/>
      </rPr>
      <t xml:space="preserve">■ 大人（インビザライン）　※アライン価格は税別・</t>
    </r>
    <r>
      <rPr>
        <b val="true"/>
        <sz val="11"/>
        <rFont val="游ゴシック"/>
        <family val="0"/>
        <charset val="1"/>
      </rPr>
      <t xml:space="preserve">22%OFF</t>
    </r>
    <r>
      <rPr>
        <b val="true"/>
        <sz val="11"/>
        <rFont val="WenQuanYi Zen Hei"/>
        <family val="2"/>
      </rPr>
      <t xml:space="preserve">適用</t>
    </r>
  </si>
  <si>
    <r>
      <rPr>
        <sz val="11"/>
        <rFont val="WenQuanYi Zen Hei"/>
        <family val="2"/>
      </rPr>
      <t xml:space="preserve">インビザラインフル（無制限）｜コンプリ オプション</t>
    </r>
    <r>
      <rPr>
        <sz val="11"/>
        <rFont val="游ゴシック"/>
        <family val="0"/>
        <charset val="1"/>
      </rPr>
      <t xml:space="preserve">1</t>
    </r>
  </si>
  <si>
    <r>
      <rPr>
        <sz val="11"/>
        <rFont val="WenQuanYi Zen Hei"/>
        <family val="2"/>
      </rPr>
      <t xml:space="preserve">インビザラインフル（無制限）｜コンプリ オプション</t>
    </r>
    <r>
      <rPr>
        <sz val="11"/>
        <rFont val="游ゴシック"/>
        <family val="0"/>
        <charset val="1"/>
      </rPr>
      <t xml:space="preserve">2</t>
    </r>
  </si>
  <si>
    <r>
      <rPr>
        <sz val="11"/>
        <rFont val="WenQuanYi Zen Hei"/>
        <family val="2"/>
      </rPr>
      <t xml:space="preserve">インビザラインモデレート（</t>
    </r>
    <r>
      <rPr>
        <sz val="11"/>
        <rFont val="游ゴシック"/>
        <family val="0"/>
        <charset val="1"/>
      </rPr>
      <t xml:space="preserve">26</t>
    </r>
    <r>
      <rPr>
        <sz val="11"/>
        <rFont val="WenQuanYi Zen Hei"/>
        <family val="2"/>
      </rPr>
      <t xml:space="preserve">枚）両顎</t>
    </r>
  </si>
  <si>
    <t xml:space="preserve">インビザラインモデレート 上下別（片顎）</t>
  </si>
  <si>
    <r>
      <rPr>
        <sz val="11"/>
        <rFont val="WenQuanYi Zen Hei"/>
        <family val="2"/>
      </rPr>
      <t xml:space="preserve">インビザラインライト（</t>
    </r>
    <r>
      <rPr>
        <sz val="11"/>
        <rFont val="游ゴシック"/>
        <family val="0"/>
        <charset val="1"/>
      </rPr>
      <t xml:space="preserve">14</t>
    </r>
    <r>
      <rPr>
        <sz val="11"/>
        <rFont val="WenQuanYi Zen Hei"/>
        <family val="2"/>
      </rPr>
      <t xml:space="preserve">枚）両顎</t>
    </r>
  </si>
  <si>
    <t xml:space="preserve">インビザラインライト 上下別（片顎）</t>
  </si>
  <si>
    <r>
      <rPr>
        <sz val="11"/>
        <rFont val="WenQuanYi Zen Hei"/>
        <family val="2"/>
      </rPr>
      <t xml:space="preserve">インビザラインエクスプレス（</t>
    </r>
    <r>
      <rPr>
        <sz val="11"/>
        <rFont val="游ゴシック"/>
        <family val="0"/>
        <charset val="1"/>
      </rPr>
      <t xml:space="preserve">7</t>
    </r>
    <r>
      <rPr>
        <sz val="11"/>
        <rFont val="WenQuanYi Zen Hei"/>
        <family val="2"/>
      </rPr>
      <t xml:space="preserve">枚）両顎</t>
    </r>
  </si>
  <si>
    <t xml:space="preserve">インビザラインエクスプレス 上下別（片顎）</t>
  </si>
  <si>
    <t xml:space="preserve">■ 小児一期（インビザライン・ファースト）</t>
  </si>
  <si>
    <r>
      <rPr>
        <sz val="11"/>
        <rFont val="WenQuanYi Zen Hei"/>
        <family val="2"/>
      </rPr>
      <t xml:space="preserve">小児一期｜ファースト オプション</t>
    </r>
    <r>
      <rPr>
        <sz val="11"/>
        <rFont val="游ゴシック"/>
        <family val="0"/>
        <charset val="1"/>
      </rPr>
      <t xml:space="preserve">1</t>
    </r>
    <r>
      <rPr>
        <sz val="11"/>
        <rFont val="WenQuanYi Zen Hei"/>
        <family val="2"/>
      </rPr>
      <t xml:space="preserve">（</t>
    </r>
    <r>
      <rPr>
        <sz val="11"/>
        <rFont val="游ゴシック"/>
        <family val="0"/>
        <charset val="1"/>
      </rPr>
      <t xml:space="preserve">12</t>
    </r>
    <r>
      <rPr>
        <sz val="11"/>
        <rFont val="WenQuanYi Zen Hei"/>
        <family val="2"/>
      </rPr>
      <t xml:space="preserve">か月）</t>
    </r>
  </si>
  <si>
    <r>
      <rPr>
        <sz val="11"/>
        <rFont val="WenQuanYi Zen Hei"/>
        <family val="2"/>
      </rPr>
      <t xml:space="preserve">小児一期｜ファースト オプション</t>
    </r>
    <r>
      <rPr>
        <sz val="11"/>
        <rFont val="游ゴシック"/>
        <family val="0"/>
        <charset val="1"/>
      </rPr>
      <t xml:space="preserve">2</t>
    </r>
    <r>
      <rPr>
        <sz val="11"/>
        <rFont val="WenQuanYi Zen Hei"/>
        <family val="2"/>
      </rPr>
      <t xml:space="preserve">（</t>
    </r>
    <r>
      <rPr>
        <sz val="11"/>
        <rFont val="游ゴシック"/>
        <family val="0"/>
        <charset val="1"/>
      </rPr>
      <t xml:space="preserve">18</t>
    </r>
    <r>
      <rPr>
        <sz val="11"/>
        <rFont val="WenQuanYi Zen Hei"/>
        <family val="2"/>
      </rPr>
      <t xml:space="preserve">か月）★推奨</t>
    </r>
  </si>
  <si>
    <r>
      <rPr>
        <sz val="11"/>
        <rFont val="WenQuanYi Zen Hei"/>
        <family val="2"/>
      </rPr>
      <t xml:space="preserve">小児一期｜ファースト オプション</t>
    </r>
    <r>
      <rPr>
        <sz val="11"/>
        <rFont val="游ゴシック"/>
        <family val="0"/>
        <charset val="1"/>
      </rPr>
      <t xml:space="preserve">3</t>
    </r>
    <r>
      <rPr>
        <sz val="11"/>
        <rFont val="WenQuanYi Zen Hei"/>
        <family val="2"/>
      </rPr>
      <t xml:space="preserve">（</t>
    </r>
    <r>
      <rPr>
        <sz val="11"/>
        <rFont val="游ゴシック"/>
        <family val="0"/>
        <charset val="1"/>
      </rPr>
      <t xml:space="preserve">24</t>
    </r>
    <r>
      <rPr>
        <sz val="11"/>
        <rFont val="WenQuanYi Zen Hei"/>
        <family val="2"/>
      </rPr>
      <t xml:space="preserve">か月）</t>
    </r>
  </si>
  <si>
    <t xml:space="preserve">■ 小児二期</t>
  </si>
  <si>
    <r>
      <rPr>
        <sz val="11"/>
        <rFont val="WenQuanYi Zen Hei"/>
        <family val="2"/>
      </rPr>
      <t xml:space="preserve">小児二期治療（フェーズ</t>
    </r>
    <r>
      <rPr>
        <sz val="11"/>
        <rFont val="游ゴシック"/>
        <family val="0"/>
        <charset val="1"/>
      </rPr>
      <t xml:space="preserve">2</t>
    </r>
    <r>
      <rPr>
        <sz val="11"/>
        <rFont val="WenQuanYi Zen Hei"/>
        <family val="2"/>
      </rPr>
      <t xml:space="preserve">）</t>
    </r>
  </si>
  <si>
    <r>
      <rPr>
        <b val="true"/>
        <sz val="11"/>
        <rFont val="WenQuanYi Zen Hei"/>
        <family val="2"/>
      </rPr>
      <t xml:space="preserve">なぜ矯正は値引かず「検査診断料 </t>
    </r>
    <r>
      <rPr>
        <b val="true"/>
        <sz val="11"/>
        <rFont val="游ゴシック"/>
        <family val="0"/>
        <charset val="1"/>
      </rPr>
      <t xml:space="preserve">44,000</t>
    </r>
    <r>
      <rPr>
        <b val="true"/>
        <sz val="11"/>
        <rFont val="WenQuanYi Zen Hei"/>
        <family val="2"/>
      </rPr>
      <t xml:space="preserve">円 無料」にするのか</t>
    </r>
  </si>
  <si>
    <r>
      <rPr>
        <sz val="10"/>
        <rFont val="WenQuanYi Zen Hei"/>
        <family val="2"/>
      </rPr>
      <t xml:space="preserve">◆ 矯正の粗利率は定価でも</t>
    </r>
    <r>
      <rPr>
        <sz val="10"/>
        <rFont val="游ゴシック"/>
        <family val="0"/>
        <charset val="1"/>
      </rPr>
      <t xml:space="preserve">64</t>
    </r>
    <r>
      <rPr>
        <sz val="10"/>
        <rFont val="WenQuanYi Zen Hei"/>
        <family val="2"/>
      </rPr>
      <t xml:space="preserve">〜</t>
    </r>
    <r>
      <rPr>
        <sz val="10"/>
        <rFont val="游ゴシック"/>
        <family val="0"/>
        <charset val="1"/>
      </rPr>
      <t xml:space="preserve">76%</t>
    </r>
    <r>
      <rPr>
        <sz val="10"/>
        <rFont val="WenQuanYi Zen Hei"/>
        <family val="2"/>
      </rPr>
      <t xml:space="preserve">と低く、補綴のように</t>
    </r>
    <r>
      <rPr>
        <sz val="10"/>
        <rFont val="游ゴシック"/>
        <family val="0"/>
        <charset val="1"/>
      </rPr>
      <t xml:space="preserve">20%</t>
    </r>
    <r>
      <rPr>
        <sz val="10"/>
        <rFont val="WenQuanYi Zen Hei"/>
        <family val="2"/>
      </rPr>
      <t xml:space="preserve">も下げる余地がない。パッケージ価格を下げると原価率が一気に悪化する。</t>
    </r>
  </si>
  <si>
    <r>
      <rPr>
        <sz val="10"/>
        <rFont val="WenQuanYi Zen Hei"/>
        <family val="2"/>
      </rPr>
      <t xml:space="preserve">◆ 検査診断料</t>
    </r>
    <r>
      <rPr>
        <sz val="10"/>
        <rFont val="游ゴシック"/>
        <family val="0"/>
        <charset val="1"/>
      </rPr>
      <t xml:space="preserve">44,000</t>
    </r>
    <r>
      <rPr>
        <sz val="10"/>
        <rFont val="WenQuanYi Zen Hei"/>
        <family val="2"/>
      </rPr>
      <t xml:space="preserve">円はアラインへの支払いがゼロ＝丸ごと利益。無料にしても医院の持ち出しは一切発生せず、減るのは「もらえたはずの</t>
    </r>
    <r>
      <rPr>
        <sz val="10"/>
        <rFont val="游ゴシック"/>
        <family val="0"/>
        <charset val="1"/>
      </rPr>
      <t xml:space="preserve">44,000</t>
    </r>
    <r>
      <rPr>
        <sz val="10"/>
        <rFont val="WenQuanYi Zen Hei"/>
        <family val="2"/>
      </rPr>
      <t xml:space="preserve">円」だけ。</t>
    </r>
  </si>
  <si>
    <r>
      <rPr>
        <sz val="10"/>
        <rFont val="游ゴシック"/>
        <family val="0"/>
        <charset val="1"/>
      </rPr>
      <t xml:space="preserve">◆ M</t>
    </r>
    <r>
      <rPr>
        <sz val="10"/>
        <rFont val="WenQuanYi Zen Hei"/>
        <family val="2"/>
      </rPr>
      <t xml:space="preserve">列（</t>
    </r>
    <r>
      <rPr>
        <sz val="10"/>
        <rFont val="游ゴシック"/>
        <family val="0"/>
        <charset val="1"/>
      </rPr>
      <t xml:space="preserve">10%OFF</t>
    </r>
    <r>
      <rPr>
        <sz val="10"/>
        <rFont val="WenQuanYi Zen Hei"/>
        <family val="2"/>
      </rPr>
      <t xml:space="preserve">の値引額）と </t>
    </r>
    <r>
      <rPr>
        <sz val="10"/>
        <rFont val="游ゴシック"/>
        <family val="0"/>
        <charset val="1"/>
      </rPr>
      <t xml:space="preserve">I</t>
    </r>
    <r>
      <rPr>
        <sz val="10"/>
        <rFont val="WenQuanYi Zen Hei"/>
        <family val="2"/>
      </rPr>
      <t xml:space="preserve">列（</t>
    </r>
    <r>
      <rPr>
        <sz val="10"/>
        <rFont val="游ゴシック"/>
        <family val="0"/>
        <charset val="1"/>
      </rPr>
      <t xml:space="preserve">44,000</t>
    </r>
    <r>
      <rPr>
        <sz val="10"/>
        <rFont val="WenQuanYi Zen Hei"/>
        <family val="2"/>
      </rPr>
      <t xml:space="preserve">円）を比べると、モデレート以上の高額パッケージでは検査診断料無料のほうが医院の負担が小さい。</t>
    </r>
  </si>
  <si>
    <r>
      <rPr>
        <sz val="10"/>
        <color rgb="FFC00000"/>
        <rFont val="WenQuanYi Zen Hei"/>
        <family val="2"/>
      </rPr>
      <t xml:space="preserve">◆【要注意】ライト両顎</t>
    </r>
    <r>
      <rPr>
        <sz val="10"/>
        <color rgb="FFC00000"/>
        <rFont val="游ゴシック"/>
        <family val="0"/>
        <charset val="1"/>
      </rPr>
      <t xml:space="preserve">(43,780)</t>
    </r>
    <r>
      <rPr>
        <sz val="10"/>
        <color rgb="FFC00000"/>
        <rFont val="WenQuanYi Zen Hei"/>
        <family val="2"/>
      </rPr>
      <t xml:space="preserve">・ライト片顎</t>
    </r>
    <r>
      <rPr>
        <sz val="10"/>
        <color rgb="FFC00000"/>
        <rFont val="游ゴシック"/>
        <family val="0"/>
        <charset val="1"/>
      </rPr>
      <t xml:space="preserve">(39,380)</t>
    </r>
    <r>
      <rPr>
        <sz val="10"/>
        <color rgb="FFC00000"/>
        <rFont val="WenQuanYi Zen Hei"/>
        <family val="2"/>
      </rPr>
      <t xml:space="preserve">・エクスプレス両顎</t>
    </r>
    <r>
      <rPr>
        <sz val="10"/>
        <color rgb="FFC00000"/>
        <rFont val="游ゴシック"/>
        <family val="0"/>
        <charset val="1"/>
      </rPr>
      <t xml:space="preserve">(32,780)</t>
    </r>
    <r>
      <rPr>
        <sz val="10"/>
        <color rgb="FFC00000"/>
        <rFont val="WenQuanYi Zen Hei"/>
        <family val="2"/>
      </rPr>
      <t xml:space="preserve">・エクスプレス片顎</t>
    </r>
    <r>
      <rPr>
        <sz val="10"/>
        <color rgb="FFC00000"/>
        <rFont val="游ゴシック"/>
        <family val="0"/>
        <charset val="1"/>
      </rPr>
      <t xml:space="preserve">(29,800)</t>
    </r>
    <r>
      <rPr>
        <sz val="10"/>
        <color rgb="FFC00000"/>
        <rFont val="WenQuanYi Zen Hei"/>
        <family val="2"/>
      </rPr>
      <t xml:space="preserve">は、</t>
    </r>
    <r>
      <rPr>
        <sz val="10"/>
        <color rgb="FFC00000"/>
        <rFont val="游ゴシック"/>
        <family val="0"/>
        <charset val="1"/>
      </rPr>
      <t xml:space="preserve">10%OFF</t>
    </r>
    <r>
      <rPr>
        <sz val="10"/>
        <color rgb="FFC00000"/>
        <rFont val="WenQuanYi Zen Hei"/>
        <family val="2"/>
      </rPr>
      <t xml:space="preserve">のほうが</t>
    </r>
    <r>
      <rPr>
        <sz val="10"/>
        <color rgb="FFC00000"/>
        <rFont val="游ゴシック"/>
        <family val="0"/>
        <charset val="1"/>
      </rPr>
      <t xml:space="preserve">44,000</t>
    </r>
    <r>
      <rPr>
        <sz val="10"/>
        <color rgb="FFC00000"/>
        <rFont val="WenQuanYi Zen Hei"/>
        <family val="2"/>
      </rPr>
      <t xml:space="preserve">円より安く済む（フェーズ</t>
    </r>
    <r>
      <rPr>
        <sz val="10"/>
        <color rgb="FFC00000"/>
        <rFont val="游ゴシック"/>
        <family val="0"/>
        <charset val="1"/>
      </rPr>
      <t xml:space="preserve">2</t>
    </r>
    <r>
      <rPr>
        <sz val="10"/>
        <color rgb="FFC00000"/>
        <rFont val="WenQuanYi Zen Hei"/>
        <family val="2"/>
      </rPr>
      <t xml:space="preserve">は</t>
    </r>
    <r>
      <rPr>
        <sz val="10"/>
        <color rgb="FFC00000"/>
        <rFont val="游ゴシック"/>
        <family val="0"/>
        <charset val="1"/>
      </rPr>
      <t xml:space="preserve">44,000</t>
    </r>
    <r>
      <rPr>
        <sz val="10"/>
        <color rgb="FFC00000"/>
        <rFont val="WenQuanYi Zen Hei"/>
        <family val="2"/>
      </rPr>
      <t xml:space="preserve">円で同額）。</t>
    </r>
  </si>
  <si>
    <r>
      <rPr>
        <sz val="10"/>
        <color rgb="FFC00000"/>
        <rFont val="WenQuanYi Zen Hei"/>
        <family val="2"/>
      </rPr>
      <t xml:space="preserve">　　ただし表を</t>
    </r>
    <r>
      <rPr>
        <sz val="10"/>
        <color rgb="FFC00000"/>
        <rFont val="游ゴシック"/>
        <family val="0"/>
        <charset val="1"/>
      </rPr>
      <t xml:space="preserve">2</t>
    </r>
    <r>
      <rPr>
        <sz val="10"/>
        <color rgb="FFC00000"/>
        <rFont val="WenQuanYi Zen Hei"/>
        <family val="2"/>
      </rPr>
      <t xml:space="preserve">本立てにすると現場が混乱し「じゃあ</t>
    </r>
    <r>
      <rPr>
        <sz val="10"/>
        <color rgb="FFC00000"/>
        <rFont val="游ゴシック"/>
        <family val="0"/>
        <charset val="1"/>
      </rPr>
      <t xml:space="preserve">10%OFF</t>
    </r>
    <r>
      <rPr>
        <sz val="10"/>
        <color rgb="FFC00000"/>
        <rFont val="WenQuanYi Zen Hei"/>
        <family val="2"/>
      </rPr>
      <t xml:space="preserve">で」と言われる口実にもなるため、全パッケージ一律「検査診断料無料」で統一する。差額は最大</t>
    </r>
    <r>
      <rPr>
        <sz val="10"/>
        <color rgb="FFC00000"/>
        <rFont val="游ゴシック"/>
        <family val="0"/>
        <charset val="1"/>
      </rPr>
      <t xml:space="preserve">14,200</t>
    </r>
    <r>
      <rPr>
        <sz val="10"/>
        <color rgb="FFC00000"/>
        <rFont val="WenQuanYi Zen Hei"/>
        <family val="2"/>
      </rPr>
      <t xml:space="preserve">円（エクスプレス片顎）。</t>
    </r>
  </si>
  <si>
    <t xml:space="preserve">運用上の注意（元データより引き継ぎ）</t>
  </si>
  <si>
    <r>
      <rPr>
        <b val="true"/>
        <sz val="10"/>
        <rFont val="WenQuanYi Zen Hei"/>
        <family val="2"/>
      </rPr>
      <t xml:space="preserve">◆ 矯正の請求は【①矯正治療費】と【②矯正検査診断料 </t>
    </r>
    <r>
      <rPr>
        <b val="true"/>
        <sz val="10"/>
        <rFont val="游ゴシック"/>
        <family val="0"/>
        <charset val="1"/>
      </rPr>
      <t xml:space="preserve">44,000</t>
    </r>
    <r>
      <rPr>
        <b val="true"/>
        <sz val="10"/>
        <rFont val="WenQuanYi Zen Hei"/>
        <family val="2"/>
      </rPr>
      <t xml:space="preserve">円】の別建て。②はアラインへの支払いが無いので原価ゼロ＝丸ごと利益。</t>
    </r>
  </si>
  <si>
    <r>
      <rPr>
        <sz val="10"/>
        <rFont val="WenQuanYi Zen Hei"/>
        <family val="2"/>
      </rPr>
      <t xml:space="preserve">◆ 原価合計＝パッケージ</t>
    </r>
    <r>
      <rPr>
        <sz val="10"/>
        <rFont val="游ゴシック"/>
        <family val="0"/>
        <charset val="1"/>
      </rPr>
      <t xml:space="preserve">(22%OFF</t>
    </r>
    <r>
      <rPr>
        <sz val="10"/>
        <rFont val="WenQuanYi Zen Hei"/>
        <family val="2"/>
      </rPr>
      <t xml:space="preserve">後</t>
    </r>
    <r>
      <rPr>
        <sz val="10"/>
        <rFont val="游ゴシック"/>
        <family val="0"/>
        <charset val="1"/>
      </rPr>
      <t xml:space="preserve">)</t>
    </r>
    <r>
      <rPr>
        <sz val="10"/>
        <rFont val="WenQuanYi Zen Hei"/>
        <family val="2"/>
      </rPr>
      <t xml:space="preserve">＋手数料</t>
    </r>
    <r>
      <rPr>
        <sz val="10"/>
        <rFont val="游ゴシック"/>
        <family val="0"/>
        <charset val="1"/>
      </rPr>
      <t xml:space="preserve">3,400</t>
    </r>
    <r>
      <rPr>
        <sz val="10"/>
        <rFont val="WenQuanYi Zen Hei"/>
        <family val="2"/>
      </rPr>
      <t xml:space="preserve">（初回アライナー＋ビベラの</t>
    </r>
    <r>
      <rPr>
        <sz val="10"/>
        <rFont val="游ゴシック"/>
        <family val="0"/>
        <charset val="1"/>
      </rPr>
      <t xml:space="preserve">2</t>
    </r>
    <r>
      <rPr>
        <sz val="10"/>
        <rFont val="WenQuanYi Zen Hei"/>
        <family val="2"/>
      </rPr>
      <t xml:space="preserve">回分）＋ビベラ</t>
    </r>
    <r>
      <rPr>
        <sz val="10"/>
        <rFont val="游ゴシック"/>
        <family val="0"/>
        <charset val="1"/>
      </rPr>
      <t xml:space="preserve">1</t>
    </r>
    <r>
      <rPr>
        <sz val="10"/>
        <rFont val="WenQuanYi Zen Hei"/>
        <family val="2"/>
      </rPr>
      <t xml:space="preserve">セット（定価・割引対象外）。②に対応する原価は無い。</t>
    </r>
  </si>
  <si>
    <r>
      <rPr>
        <sz val="10"/>
        <rFont val="WenQuanYi Zen Hei"/>
        <family val="2"/>
      </rPr>
      <t xml:space="preserve">◆ 追加アライナーが出るたびに手数料</t>
    </r>
    <r>
      <rPr>
        <sz val="10"/>
        <rFont val="游ゴシック"/>
        <family val="0"/>
        <charset val="1"/>
      </rPr>
      <t xml:space="preserve">+1,700</t>
    </r>
    <r>
      <rPr>
        <sz val="10"/>
        <rFont val="WenQuanYi Zen Hei"/>
        <family val="2"/>
      </rPr>
      <t xml:space="preserve">円、コンプリ オプション</t>
    </r>
    <r>
      <rPr>
        <sz val="10"/>
        <rFont val="游ゴシック"/>
        <family val="0"/>
        <charset val="1"/>
      </rPr>
      <t xml:space="preserve">2</t>
    </r>
    <r>
      <rPr>
        <sz val="10"/>
        <rFont val="WenQuanYi Zen Hei"/>
        <family val="2"/>
      </rPr>
      <t xml:space="preserve">・モデレート・ライト・フェーズ</t>
    </r>
    <r>
      <rPr>
        <sz val="10"/>
        <rFont val="游ゴシック"/>
        <family val="0"/>
        <charset val="1"/>
      </rPr>
      <t xml:space="preserve">2</t>
    </r>
    <r>
      <rPr>
        <sz val="10"/>
        <rFont val="WenQuanYi Zen Hei"/>
        <family val="2"/>
      </rPr>
      <t xml:space="preserve">は追加</t>
    </r>
    <r>
      <rPr>
        <sz val="10"/>
        <rFont val="游ゴシック"/>
        <family val="0"/>
        <charset val="1"/>
      </rPr>
      <t xml:space="preserve">1</t>
    </r>
    <r>
      <rPr>
        <sz val="10"/>
        <rFont val="WenQuanYi Zen Hei"/>
        <family val="2"/>
      </rPr>
      <t xml:space="preserve">回ごとに本体費用も発生する（元データ参照）。</t>
    </r>
  </si>
  <si>
    <r>
      <rPr>
        <sz val="10"/>
        <rFont val="WenQuanYi Zen Hei"/>
        <family val="2"/>
      </rPr>
      <t xml:space="preserve">◆ エクスプレスはアラインの割引が一切効かない（片顎</t>
    </r>
    <r>
      <rPr>
        <sz val="10"/>
        <rFont val="游ゴシック"/>
        <family val="0"/>
        <charset val="1"/>
      </rPr>
      <t xml:space="preserve">78,000</t>
    </r>
    <r>
      <rPr>
        <sz val="10"/>
        <rFont val="WenQuanYi Zen Hei"/>
        <family val="2"/>
      </rPr>
      <t xml:space="preserve">／両顎</t>
    </r>
    <r>
      <rPr>
        <sz val="10"/>
        <rFont val="游ゴシック"/>
        <family val="0"/>
        <charset val="1"/>
      </rPr>
      <t xml:space="preserve">100,000</t>
    </r>
    <r>
      <rPr>
        <sz val="10"/>
        <rFont val="WenQuanYi Zen Hei"/>
        <family val="2"/>
      </rPr>
      <t xml:space="preserve">が丸ごと請求）。粗利率が最も低いので、紹介プランでも値引きはしない。</t>
    </r>
  </si>
  <si>
    <r>
      <rPr>
        <sz val="10"/>
        <rFont val="游ゴシック"/>
        <family val="0"/>
        <charset val="1"/>
      </rPr>
      <t xml:space="preserve">◆ iTero</t>
    </r>
    <r>
      <rPr>
        <sz val="10"/>
        <rFont val="WenQuanYi Zen Hei"/>
        <family val="2"/>
      </rPr>
      <t xml:space="preserve">送信の症例はキャンセル料</t>
    </r>
    <r>
      <rPr>
        <sz val="10"/>
        <rFont val="游ゴシック"/>
        <family val="0"/>
        <charset val="1"/>
      </rPr>
      <t xml:space="preserve">0</t>
    </r>
    <r>
      <rPr>
        <sz val="10"/>
        <rFont val="WenQuanYi Zen Hei"/>
        <family val="2"/>
      </rPr>
      <t xml:space="preserve">円（</t>
    </r>
    <r>
      <rPr>
        <sz val="10"/>
        <rFont val="游ゴシック"/>
        <family val="0"/>
        <charset val="1"/>
      </rPr>
      <t xml:space="preserve">PVS</t>
    </r>
    <r>
      <rPr>
        <sz val="10"/>
        <rFont val="WenQuanYi Zen Hei"/>
        <family val="2"/>
      </rPr>
      <t xml:space="preserve">印象は</t>
    </r>
    <r>
      <rPr>
        <sz val="10"/>
        <rFont val="游ゴシック"/>
        <family val="0"/>
        <charset val="1"/>
      </rPr>
      <t xml:space="preserve">30,000</t>
    </r>
    <r>
      <rPr>
        <sz val="10"/>
        <rFont val="WenQuanYi Zen Hei"/>
        <family val="2"/>
      </rPr>
      <t xml:space="preserve">円）。松山翼様紹介の症例は必ず</t>
    </r>
    <r>
      <rPr>
        <sz val="10"/>
        <rFont val="游ゴシック"/>
        <family val="0"/>
        <charset val="1"/>
      </rPr>
      <t xml:space="preserve">iTero</t>
    </r>
    <r>
      <rPr>
        <sz val="10"/>
        <rFont val="WenQuanYi Zen Hei"/>
        <family val="2"/>
      </rPr>
      <t xml:space="preserve">で提出する運用にすると、キャンセル時の損失をゼロにできる。</t>
    </r>
  </si>
  <si>
    <r>
      <rPr>
        <sz val="10"/>
        <color rgb="FFC00000"/>
        <rFont val="WenQuanYi Zen Hei"/>
        <family val="2"/>
      </rPr>
      <t xml:space="preserve">◆ 松山翼様から矯正の値引きを強く求められた場合の最終ラインは</t>
    </r>
    <r>
      <rPr>
        <sz val="10"/>
        <color rgb="FFC00000"/>
        <rFont val="游ゴシック"/>
        <family val="0"/>
        <charset val="1"/>
      </rPr>
      <t xml:space="preserve">M</t>
    </r>
    <r>
      <rPr>
        <sz val="10"/>
        <color rgb="FFC00000"/>
        <rFont val="WenQuanYi Zen Hei"/>
        <family val="2"/>
      </rPr>
      <t xml:space="preserve">列（</t>
    </r>
    <r>
      <rPr>
        <sz val="10"/>
        <color rgb="FFC00000"/>
        <rFont val="游ゴシック"/>
        <family val="0"/>
        <charset val="1"/>
      </rPr>
      <t xml:space="preserve">10%OFF</t>
    </r>
    <r>
      <rPr>
        <sz val="10"/>
        <color rgb="FFC00000"/>
        <rFont val="WenQuanYi Zen Hei"/>
        <family val="2"/>
      </rPr>
      <t xml:space="preserve">）。ただし院長判断とし、価格表には載せない。</t>
    </r>
  </si>
  <si>
    <t xml:space="preserve">従来の「月額紹介料」と、新方式「紹介の方への値引き」の損益比較</t>
  </si>
  <si>
    <r>
      <rPr>
        <sz val="9"/>
        <color rgb="FF666666"/>
        <rFont val="WenQuanYi Zen Hei"/>
        <family val="2"/>
      </rPr>
      <t xml:space="preserve">この制度の最大のメリットは、紹介料が固定費から変動費に変わること。紹介がゼロの月の医院負担は、従来＝月額まるごと／新方式＝</t>
    </r>
    <r>
      <rPr>
        <sz val="9"/>
        <color rgb="FF666666"/>
        <rFont val="游ゴシック"/>
        <family val="0"/>
        <charset val="1"/>
      </rPr>
      <t xml:space="preserve">0</t>
    </r>
    <r>
      <rPr>
        <sz val="9"/>
        <color rgb="FF666666"/>
        <rFont val="WenQuanYi Zen Hei"/>
        <family val="2"/>
      </rPr>
      <t xml:space="preserve">円。</t>
    </r>
  </si>
  <si>
    <r>
      <rPr>
        <sz val="9"/>
        <color rgb="FF666666"/>
        <rFont val="WenQuanYi Zen Hei"/>
        <family val="2"/>
      </rPr>
      <t xml:space="preserve">単位：円。補綴の「通常割引率」は既存の本数ルール（</t>
    </r>
    <r>
      <rPr>
        <sz val="9"/>
        <color rgb="FF666666"/>
        <rFont val="游ゴシック"/>
        <family val="0"/>
        <charset val="1"/>
      </rPr>
      <t xml:space="preserve">1</t>
    </r>
    <r>
      <rPr>
        <sz val="9"/>
        <color rgb="FF666666"/>
        <rFont val="WenQuanYi Zen Hei"/>
        <family val="2"/>
      </rPr>
      <t xml:space="preserve">〜</t>
    </r>
    <r>
      <rPr>
        <sz val="9"/>
        <color rgb="FF666666"/>
        <rFont val="游ゴシック"/>
        <family val="0"/>
        <charset val="1"/>
      </rPr>
      <t xml:space="preserve">5</t>
    </r>
    <r>
      <rPr>
        <sz val="9"/>
        <color rgb="FF666666"/>
        <rFont val="WenQuanYi Zen Hei"/>
        <family val="2"/>
      </rPr>
      <t xml:space="preserve">本</t>
    </r>
    <r>
      <rPr>
        <sz val="9"/>
        <color rgb="FF666666"/>
        <rFont val="游ゴシック"/>
        <family val="0"/>
        <charset val="1"/>
      </rPr>
      <t xml:space="preserve">10%</t>
    </r>
    <r>
      <rPr>
        <sz val="9"/>
        <color rgb="FF666666"/>
        <rFont val="WenQuanYi Zen Hei"/>
        <family val="2"/>
      </rPr>
      <t xml:space="preserve">／</t>
    </r>
    <r>
      <rPr>
        <sz val="9"/>
        <color rgb="FF666666"/>
        <rFont val="游ゴシック"/>
        <family val="0"/>
        <charset val="1"/>
      </rPr>
      <t xml:space="preserve">6</t>
    </r>
    <r>
      <rPr>
        <sz val="9"/>
        <color rgb="FF666666"/>
        <rFont val="WenQuanYi Zen Hei"/>
        <family val="2"/>
      </rPr>
      <t xml:space="preserve">〜</t>
    </r>
    <r>
      <rPr>
        <sz val="9"/>
        <color rgb="FF666666"/>
        <rFont val="游ゴシック"/>
        <family val="0"/>
        <charset val="1"/>
      </rPr>
      <t xml:space="preserve">9</t>
    </r>
    <r>
      <rPr>
        <sz val="9"/>
        <color rgb="FF666666"/>
        <rFont val="WenQuanYi Zen Hei"/>
        <family val="2"/>
      </rPr>
      <t xml:space="preserve">本</t>
    </r>
    <r>
      <rPr>
        <sz val="9"/>
        <color rgb="FF666666"/>
        <rFont val="游ゴシック"/>
        <family val="0"/>
        <charset val="1"/>
      </rPr>
      <t xml:space="preserve">15%</t>
    </r>
    <r>
      <rPr>
        <sz val="9"/>
        <color rgb="FF666666"/>
        <rFont val="WenQuanYi Zen Hei"/>
        <family val="2"/>
      </rPr>
      <t xml:space="preserve">／</t>
    </r>
    <r>
      <rPr>
        <sz val="9"/>
        <color rgb="FF666666"/>
        <rFont val="游ゴシック"/>
        <family val="0"/>
        <charset val="1"/>
      </rPr>
      <t xml:space="preserve">10</t>
    </r>
    <r>
      <rPr>
        <sz val="9"/>
        <color rgb="FF666666"/>
        <rFont val="WenQuanYi Zen Hei"/>
        <family val="2"/>
      </rPr>
      <t xml:space="preserve">本以上</t>
    </r>
    <r>
      <rPr>
        <sz val="9"/>
        <color rgb="FF666666"/>
        <rFont val="游ゴシック"/>
        <family val="0"/>
        <charset val="1"/>
      </rPr>
      <t xml:space="preserve">20%</t>
    </r>
    <r>
      <rPr>
        <sz val="9"/>
        <color rgb="FF666666"/>
        <rFont val="WenQuanYi Zen Hei"/>
        <family val="2"/>
      </rPr>
      <t xml:space="preserve">）を自動適用。矯正は原則値引きなしのため通常割引率</t>
    </r>
    <r>
      <rPr>
        <sz val="9"/>
        <color rgb="FF666666"/>
        <rFont val="游ゴシック"/>
        <family val="0"/>
        <charset val="1"/>
      </rPr>
      <t xml:space="preserve">0%</t>
    </r>
    <r>
      <rPr>
        <sz val="9"/>
        <color rgb="FF666666"/>
        <rFont val="WenQuanYi Zen Hei"/>
        <family val="2"/>
      </rPr>
      <t xml:space="preserve">。</t>
    </r>
  </si>
  <si>
    <t xml:space="preserve">【設定値】従来松山翼様に毎月お支払いしていた紹介料の実額を入れてください（青字＝入力セル）</t>
  </si>
  <si>
    <t xml:space="preserve">従来の月額紹介料（実額に置き換えてください）</t>
  </si>
  <si>
    <t xml:space="preserve">円／月　★仮の数値です。必ず実額に修正してください</t>
  </si>
  <si>
    <t xml:space="preserve">従来方式の年間負担</t>
  </si>
  <si>
    <t xml:space="preserve">円／年（紹介人数がゼロでも発生）</t>
  </si>
  <si>
    <t xml:space="preserve">想定ケース</t>
  </si>
  <si>
    <t xml:space="preserve">本数／件数</t>
  </si>
  <si>
    <r>
      <rPr>
        <b val="true"/>
        <sz val="10"/>
        <color rgb="FFFFFFFF"/>
        <rFont val="WenQuanYi Zen Hei"/>
        <family val="2"/>
      </rPr>
      <t xml:space="preserve">単価</t>
    </r>
    <r>
      <rPr>
        <b val="true"/>
        <sz val="10"/>
        <color rgb="FFFFFFFF"/>
        <rFont val="游ゴシック"/>
        <family val="0"/>
        <charset val="1"/>
      </rPr>
      <t xml:space="preserve">(</t>
    </r>
    <r>
      <rPr>
        <b val="true"/>
        <sz val="10"/>
        <color rgb="FFFFFFFF"/>
        <rFont val="WenQuanYi Zen Hei"/>
        <family val="2"/>
      </rPr>
      <t xml:space="preserve">定価</t>
    </r>
    <r>
      <rPr>
        <b val="true"/>
        <sz val="10"/>
        <color rgb="FFFFFFFF"/>
        <rFont val="游ゴシック"/>
        <family val="0"/>
        <charset val="1"/>
      </rPr>
      <t xml:space="preserve">)</t>
    </r>
  </si>
  <si>
    <t xml:space="preserve">定価合計</t>
  </si>
  <si>
    <t xml:space="preserve">通常の
割引率</t>
  </si>
  <si>
    <t xml:space="preserve">紹介がなくても
出していた価格</t>
  </si>
  <si>
    <t xml:space="preserve">松山紹介価格</t>
  </si>
  <si>
    <r>
      <rPr>
        <b val="true"/>
        <sz val="10"/>
        <color rgb="FFFFFFFF"/>
        <rFont val="WenQuanYi Zen Hei"/>
        <family val="2"/>
      </rPr>
      <t xml:space="preserve">患者メリット
</t>
    </r>
    <r>
      <rPr>
        <b val="true"/>
        <sz val="10"/>
        <color rgb="FFFFFFFF"/>
        <rFont val="游ゴシック"/>
        <family val="0"/>
        <charset val="1"/>
      </rPr>
      <t xml:space="preserve">(</t>
    </r>
    <r>
      <rPr>
        <b val="true"/>
        <sz val="10"/>
        <color rgb="FFFFFFFF"/>
        <rFont val="WenQuanYi Zen Hei"/>
        <family val="2"/>
      </rPr>
      <t xml:space="preserve">定価との差</t>
    </r>
    <r>
      <rPr>
        <b val="true"/>
        <sz val="10"/>
        <color rgb="FFFFFFFF"/>
        <rFont val="游ゴシック"/>
        <family val="0"/>
        <charset val="1"/>
      </rPr>
      <t xml:space="preserve">)</t>
    </r>
  </si>
  <si>
    <r>
      <rPr>
        <b val="true"/>
        <sz val="10"/>
        <color rgb="FFFFFFFF"/>
        <rFont val="WenQuanYi Zen Hei"/>
        <family val="2"/>
      </rPr>
      <t xml:space="preserve">医院の実質負担
</t>
    </r>
    <r>
      <rPr>
        <b val="true"/>
        <sz val="10"/>
        <color rgb="FFFFFFFF"/>
        <rFont val="游ゴシック"/>
        <family val="0"/>
        <charset val="1"/>
      </rPr>
      <t xml:space="preserve">(</t>
    </r>
    <r>
      <rPr>
        <b val="true"/>
        <sz val="10"/>
        <color rgb="FFFFFFFF"/>
        <rFont val="WenQuanYi Zen Hei"/>
        <family val="2"/>
      </rPr>
      <t xml:space="preserve">通常価格との差</t>
    </r>
    <r>
      <rPr>
        <b val="true"/>
        <sz val="10"/>
        <color rgb="FFFFFFFF"/>
        <rFont val="游ゴシック"/>
        <family val="0"/>
        <charset val="1"/>
      </rPr>
      <t xml:space="preserve">)</t>
    </r>
  </si>
  <si>
    <t xml:space="preserve">紹介時の医院の利益</t>
  </si>
  <si>
    <r>
      <rPr>
        <b val="true"/>
        <sz val="11"/>
        <rFont val="WenQuanYi Zen Hei"/>
        <family val="2"/>
      </rPr>
      <t xml:space="preserve">■ 補綴（セラミック治療）｜松山紹介＝本数に関わらず一律</t>
    </r>
    <r>
      <rPr>
        <b val="true"/>
        <sz val="11"/>
        <rFont val="游ゴシック"/>
        <family val="0"/>
        <charset val="1"/>
      </rPr>
      <t xml:space="preserve">20%OFF</t>
    </r>
  </si>
  <si>
    <r>
      <rPr>
        <sz val="11"/>
        <rFont val="WenQuanYi Zen Hei"/>
        <family val="2"/>
      </rPr>
      <t xml:space="preserve">臼歯 フルジルコニアクラウン　</t>
    </r>
    <r>
      <rPr>
        <sz val="11"/>
        <rFont val="游ゴシック"/>
        <family val="0"/>
        <charset val="1"/>
      </rPr>
      <t xml:space="preserve">1</t>
    </r>
    <r>
      <rPr>
        <sz val="11"/>
        <rFont val="WenQuanYi Zen Hei"/>
        <family val="2"/>
      </rPr>
      <t xml:space="preserve">本</t>
    </r>
  </si>
  <si>
    <r>
      <rPr>
        <sz val="11"/>
        <rFont val="WenQuanYi Zen Hei"/>
        <family val="2"/>
      </rPr>
      <t xml:space="preserve">臼歯 フルジルコニアクラウン　</t>
    </r>
    <r>
      <rPr>
        <sz val="11"/>
        <rFont val="游ゴシック"/>
        <family val="0"/>
        <charset val="1"/>
      </rPr>
      <t xml:space="preserve">3</t>
    </r>
    <r>
      <rPr>
        <sz val="11"/>
        <rFont val="WenQuanYi Zen Hei"/>
        <family val="2"/>
      </rPr>
      <t xml:space="preserve">本</t>
    </r>
  </si>
  <si>
    <r>
      <rPr>
        <sz val="11"/>
        <rFont val="WenQuanYi Zen Hei"/>
        <family val="2"/>
      </rPr>
      <t xml:space="preserve">臼歯 フルジルコニアインレー　</t>
    </r>
    <r>
      <rPr>
        <sz val="11"/>
        <rFont val="游ゴシック"/>
        <family val="0"/>
        <charset val="1"/>
      </rPr>
      <t xml:space="preserve">2</t>
    </r>
    <r>
      <rPr>
        <sz val="11"/>
        <rFont val="WenQuanYi Zen Hei"/>
        <family val="2"/>
      </rPr>
      <t xml:space="preserve">本</t>
    </r>
  </si>
  <si>
    <r>
      <rPr>
        <sz val="11"/>
        <rFont val="WenQuanYi Zen Hei"/>
        <family val="2"/>
      </rPr>
      <t xml:space="preserve">前歯 ジルコニアセラミック </t>
    </r>
    <r>
      <rPr>
        <sz val="11"/>
        <rFont val="游ゴシック"/>
        <family val="0"/>
        <charset val="1"/>
      </rPr>
      <t xml:space="preserve">S</t>
    </r>
    <r>
      <rPr>
        <sz val="11"/>
        <rFont val="WenQuanYi Zen Hei"/>
        <family val="2"/>
      </rPr>
      <t xml:space="preserve">級　</t>
    </r>
    <r>
      <rPr>
        <sz val="11"/>
        <rFont val="游ゴシック"/>
        <family val="0"/>
        <charset val="1"/>
      </rPr>
      <t xml:space="preserve">4</t>
    </r>
    <r>
      <rPr>
        <sz val="11"/>
        <rFont val="WenQuanYi Zen Hei"/>
        <family val="2"/>
      </rPr>
      <t xml:space="preserve">本</t>
    </r>
  </si>
  <si>
    <r>
      <rPr>
        <sz val="11"/>
        <rFont val="WenQuanYi Zen Hei"/>
        <family val="2"/>
      </rPr>
      <t xml:space="preserve">前歯 ジルコニアセラミック </t>
    </r>
    <r>
      <rPr>
        <sz val="11"/>
        <rFont val="游ゴシック"/>
        <family val="0"/>
        <charset val="1"/>
      </rPr>
      <t xml:space="preserve">S</t>
    </r>
    <r>
      <rPr>
        <sz val="11"/>
        <rFont val="WenQuanYi Zen Hei"/>
        <family val="2"/>
      </rPr>
      <t xml:space="preserve">級　</t>
    </r>
    <r>
      <rPr>
        <sz val="11"/>
        <rFont val="游ゴシック"/>
        <family val="0"/>
        <charset val="1"/>
      </rPr>
      <t xml:space="preserve">6</t>
    </r>
    <r>
      <rPr>
        <sz val="11"/>
        <rFont val="WenQuanYi Zen Hei"/>
        <family val="2"/>
      </rPr>
      <t xml:space="preserve">本（上顎前歯フル）</t>
    </r>
  </si>
  <si>
    <r>
      <rPr>
        <sz val="11"/>
        <rFont val="WenQuanYi Zen Hei"/>
        <family val="2"/>
      </rPr>
      <t xml:space="preserve">前歯 スーパーエナメル　</t>
    </r>
    <r>
      <rPr>
        <sz val="11"/>
        <rFont val="游ゴシック"/>
        <family val="0"/>
        <charset val="1"/>
      </rPr>
      <t xml:space="preserve">6</t>
    </r>
    <r>
      <rPr>
        <sz val="11"/>
        <rFont val="WenQuanYi Zen Hei"/>
        <family val="2"/>
      </rPr>
      <t xml:space="preserve">本</t>
    </r>
  </si>
  <si>
    <r>
      <rPr>
        <sz val="11"/>
        <rFont val="WenQuanYi Zen Hei"/>
        <family val="2"/>
      </rPr>
      <t xml:space="preserve">前歯 ラミネートベニア　</t>
    </r>
    <r>
      <rPr>
        <sz val="11"/>
        <rFont val="游ゴシック"/>
        <family val="0"/>
        <charset val="1"/>
      </rPr>
      <t xml:space="preserve">6</t>
    </r>
    <r>
      <rPr>
        <sz val="11"/>
        <rFont val="WenQuanYi Zen Hei"/>
        <family val="2"/>
      </rPr>
      <t xml:space="preserve">本</t>
    </r>
  </si>
  <si>
    <r>
      <rPr>
        <sz val="11"/>
        <rFont val="WenQuanYi Zen Hei"/>
        <family val="2"/>
      </rPr>
      <t xml:space="preserve">前歯 ジルコニアセラミック ノーマル　</t>
    </r>
    <r>
      <rPr>
        <sz val="11"/>
        <rFont val="游ゴシック"/>
        <family val="0"/>
        <charset val="1"/>
      </rPr>
      <t xml:space="preserve">12</t>
    </r>
    <r>
      <rPr>
        <sz val="11"/>
        <rFont val="WenQuanYi Zen Hei"/>
        <family val="2"/>
      </rPr>
      <t xml:space="preserve">本（上下）</t>
    </r>
  </si>
  <si>
    <r>
      <rPr>
        <b val="true"/>
        <sz val="11"/>
        <rFont val="WenQuanYi Zen Hei"/>
        <family val="2"/>
      </rPr>
      <t xml:space="preserve">■ 矯正（インビザライン）｜松山紹介＝①矯正治療費は据え置き、②矯正検査診断料 </t>
    </r>
    <r>
      <rPr>
        <b val="true"/>
        <sz val="11"/>
        <rFont val="游ゴシック"/>
        <family val="0"/>
        <charset val="1"/>
      </rPr>
      <t xml:space="preserve">44,000</t>
    </r>
    <r>
      <rPr>
        <b val="true"/>
        <sz val="11"/>
        <rFont val="WenQuanYi Zen Hei"/>
        <family val="2"/>
      </rPr>
      <t xml:space="preserve">円のみ無料</t>
    </r>
  </si>
  <si>
    <r>
      <rPr>
        <sz val="11"/>
        <rFont val="WenQuanYi Zen Hei"/>
        <family val="2"/>
      </rPr>
      <t xml:space="preserve">矯正 インビザラインフル｜コンプリ オプション</t>
    </r>
    <r>
      <rPr>
        <sz val="11"/>
        <rFont val="游ゴシック"/>
        <family val="0"/>
        <charset val="1"/>
      </rPr>
      <t xml:space="preserve">2</t>
    </r>
    <r>
      <rPr>
        <sz val="11"/>
        <rFont val="WenQuanYi Zen Hei"/>
        <family val="2"/>
      </rPr>
      <t xml:space="preserve">　</t>
    </r>
    <r>
      <rPr>
        <sz val="11"/>
        <rFont val="游ゴシック"/>
        <family val="0"/>
        <charset val="1"/>
      </rPr>
      <t xml:space="preserve">1</t>
    </r>
    <r>
      <rPr>
        <sz val="11"/>
        <rFont val="WenQuanYi Zen Hei"/>
        <family val="2"/>
      </rPr>
      <t xml:space="preserve">件</t>
    </r>
  </si>
  <si>
    <r>
      <rPr>
        <sz val="11"/>
        <rFont val="WenQuanYi Zen Hei"/>
        <family val="2"/>
      </rPr>
      <t xml:space="preserve">矯正 インビザラインモデレート（</t>
    </r>
    <r>
      <rPr>
        <sz val="11"/>
        <rFont val="游ゴシック"/>
        <family val="0"/>
        <charset val="1"/>
      </rPr>
      <t xml:space="preserve">26</t>
    </r>
    <r>
      <rPr>
        <sz val="11"/>
        <rFont val="WenQuanYi Zen Hei"/>
        <family val="2"/>
      </rPr>
      <t xml:space="preserve">枚）両顎　</t>
    </r>
    <r>
      <rPr>
        <sz val="11"/>
        <rFont val="游ゴシック"/>
        <family val="0"/>
        <charset val="1"/>
      </rPr>
      <t xml:space="preserve">1</t>
    </r>
    <r>
      <rPr>
        <sz val="11"/>
        <rFont val="WenQuanYi Zen Hei"/>
        <family val="2"/>
      </rPr>
      <t xml:space="preserve">件</t>
    </r>
  </si>
  <si>
    <r>
      <rPr>
        <sz val="11"/>
        <rFont val="WenQuanYi Zen Hei"/>
        <family val="2"/>
      </rPr>
      <t xml:space="preserve">矯正 インビザラインライト（</t>
    </r>
    <r>
      <rPr>
        <sz val="11"/>
        <rFont val="游ゴシック"/>
        <family val="0"/>
        <charset val="1"/>
      </rPr>
      <t xml:space="preserve">14</t>
    </r>
    <r>
      <rPr>
        <sz val="11"/>
        <rFont val="WenQuanYi Zen Hei"/>
        <family val="2"/>
      </rPr>
      <t xml:space="preserve">枚）両顎　</t>
    </r>
    <r>
      <rPr>
        <sz val="11"/>
        <rFont val="游ゴシック"/>
        <family val="0"/>
        <charset val="1"/>
      </rPr>
      <t xml:space="preserve">1</t>
    </r>
    <r>
      <rPr>
        <sz val="11"/>
        <rFont val="WenQuanYi Zen Hei"/>
        <family val="2"/>
      </rPr>
      <t xml:space="preserve">件</t>
    </r>
  </si>
  <si>
    <r>
      <rPr>
        <sz val="11"/>
        <rFont val="WenQuanYi Zen Hei"/>
        <family val="2"/>
      </rPr>
      <t xml:space="preserve">矯正 小児一期｜ファースト オプション</t>
    </r>
    <r>
      <rPr>
        <sz val="11"/>
        <rFont val="游ゴシック"/>
        <family val="0"/>
        <charset val="1"/>
      </rPr>
      <t xml:space="preserve">2</t>
    </r>
    <r>
      <rPr>
        <sz val="11"/>
        <rFont val="WenQuanYi Zen Hei"/>
        <family val="2"/>
      </rPr>
      <t xml:space="preserve">　</t>
    </r>
    <r>
      <rPr>
        <sz val="11"/>
        <rFont val="游ゴシック"/>
        <family val="0"/>
        <charset val="1"/>
      </rPr>
      <t xml:space="preserve">1</t>
    </r>
    <r>
      <rPr>
        <sz val="11"/>
        <rFont val="WenQuanYi Zen Hei"/>
        <family val="2"/>
      </rPr>
      <t xml:space="preserve">件</t>
    </r>
  </si>
  <si>
    <r>
      <rPr>
        <sz val="11"/>
        <rFont val="WenQuanYi Zen Hei"/>
        <family val="2"/>
      </rPr>
      <t xml:space="preserve">矯正 小児二期治療（フェーズ</t>
    </r>
    <r>
      <rPr>
        <sz val="11"/>
        <rFont val="游ゴシック"/>
        <family val="0"/>
        <charset val="1"/>
      </rPr>
      <t xml:space="preserve">2</t>
    </r>
    <r>
      <rPr>
        <sz val="11"/>
        <rFont val="WenQuanYi Zen Hei"/>
        <family val="2"/>
      </rPr>
      <t xml:space="preserve">）　</t>
    </r>
    <r>
      <rPr>
        <sz val="11"/>
        <rFont val="游ゴシック"/>
        <family val="0"/>
        <charset val="1"/>
      </rPr>
      <t xml:space="preserve">1</t>
    </r>
    <r>
      <rPr>
        <sz val="11"/>
        <rFont val="WenQuanYi Zen Hei"/>
        <family val="2"/>
      </rPr>
      <t xml:space="preserve">件</t>
    </r>
  </si>
  <si>
    <r>
      <rPr>
        <b val="true"/>
        <sz val="11"/>
        <rFont val="WenQuanYi Zen Hei"/>
        <family val="2"/>
      </rPr>
      <t xml:space="preserve">この表でいちばん大事な列＝</t>
    </r>
    <r>
      <rPr>
        <b val="true"/>
        <sz val="11"/>
        <rFont val="游ゴシック"/>
        <family val="0"/>
        <charset val="1"/>
      </rPr>
      <t xml:space="preserve">I</t>
    </r>
    <r>
      <rPr>
        <b val="true"/>
        <sz val="11"/>
        <rFont val="WenQuanYi Zen Hei"/>
        <family val="2"/>
      </rPr>
      <t xml:space="preserve">列「医院の実質負担」</t>
    </r>
  </si>
  <si>
    <r>
      <rPr>
        <sz val="10"/>
        <rFont val="游ゴシック"/>
        <family val="0"/>
        <charset val="1"/>
      </rPr>
      <t xml:space="preserve">◆ H</t>
    </r>
    <r>
      <rPr>
        <sz val="10"/>
        <rFont val="WenQuanYi Zen Hei"/>
        <family val="2"/>
      </rPr>
      <t xml:space="preserve">列（患者メリット）は患者さんから見た『お得額』。</t>
    </r>
    <r>
      <rPr>
        <sz val="10"/>
        <rFont val="游ゴシック"/>
        <family val="0"/>
        <charset val="1"/>
      </rPr>
      <t xml:space="preserve">I</t>
    </r>
    <r>
      <rPr>
        <sz val="10"/>
        <rFont val="WenQuanYi Zen Hei"/>
        <family val="2"/>
      </rPr>
      <t xml:space="preserve">列（医院の実質負担）は医院が新たに失う額で、この</t>
    </r>
    <r>
      <rPr>
        <sz val="10"/>
        <rFont val="游ゴシック"/>
        <family val="0"/>
        <charset val="1"/>
      </rPr>
      <t xml:space="preserve">2</t>
    </r>
    <r>
      <rPr>
        <sz val="10"/>
        <rFont val="WenQuanYi Zen Hei"/>
        <family val="2"/>
      </rPr>
      <t xml:space="preserve">つは一致しない。</t>
    </r>
  </si>
  <si>
    <r>
      <rPr>
        <b val="true"/>
        <sz val="10"/>
        <rFont val="WenQuanYi Zen Hei"/>
        <family val="2"/>
      </rPr>
      <t xml:space="preserve">◆ 紹介がなくても本数に応じた割引は出していたので、</t>
    </r>
    <r>
      <rPr>
        <b val="true"/>
        <sz val="10"/>
        <rFont val="游ゴシック"/>
        <family val="0"/>
        <charset val="1"/>
      </rPr>
      <t xml:space="preserve">10</t>
    </r>
    <r>
      <rPr>
        <b val="true"/>
        <sz val="10"/>
        <rFont val="WenQuanYi Zen Hei"/>
        <family val="2"/>
      </rPr>
      <t xml:space="preserve">本以上のケースでは通常割引が既に</t>
    </r>
    <r>
      <rPr>
        <b val="true"/>
        <sz val="10"/>
        <rFont val="游ゴシック"/>
        <family val="0"/>
        <charset val="1"/>
      </rPr>
      <t xml:space="preserve">20%</t>
    </r>
    <r>
      <rPr>
        <b val="true"/>
        <sz val="10"/>
        <rFont val="WenQuanYi Zen Hei"/>
        <family val="2"/>
      </rPr>
      <t xml:space="preserve">＝松山紹介にしても医院の負担はゼロ円。</t>
    </r>
  </si>
  <si>
    <r>
      <rPr>
        <sz val="10"/>
        <rFont val="WenQuanYi Zen Hei"/>
        <family val="2"/>
      </rPr>
      <t xml:space="preserve">◆ 逆に</t>
    </r>
    <r>
      <rPr>
        <sz val="10"/>
        <rFont val="游ゴシック"/>
        <family val="0"/>
        <charset val="1"/>
      </rPr>
      <t xml:space="preserve">1</t>
    </r>
    <r>
      <rPr>
        <sz val="10"/>
        <rFont val="WenQuanYi Zen Hei"/>
        <family val="2"/>
      </rPr>
      <t xml:space="preserve">〜</t>
    </r>
    <r>
      <rPr>
        <sz val="10"/>
        <rFont val="游ゴシック"/>
        <family val="0"/>
        <charset val="1"/>
      </rPr>
      <t xml:space="preserve">2</t>
    </r>
    <r>
      <rPr>
        <sz val="10"/>
        <rFont val="WenQuanYi Zen Hei"/>
        <family val="2"/>
      </rPr>
      <t xml:space="preserve">本の少数症例では、通常</t>
    </r>
    <r>
      <rPr>
        <sz val="10"/>
        <rFont val="游ゴシック"/>
        <family val="0"/>
        <charset val="1"/>
      </rPr>
      <t xml:space="preserve">10%→</t>
    </r>
    <r>
      <rPr>
        <sz val="10"/>
        <rFont val="WenQuanYi Zen Hei"/>
        <family val="2"/>
      </rPr>
      <t xml:space="preserve">紹介</t>
    </r>
    <r>
      <rPr>
        <sz val="10"/>
        <rFont val="游ゴシック"/>
        <family val="0"/>
        <charset val="1"/>
      </rPr>
      <t xml:space="preserve">20%</t>
    </r>
    <r>
      <rPr>
        <sz val="10"/>
        <rFont val="WenQuanYi Zen Hei"/>
        <family val="2"/>
      </rPr>
      <t xml:space="preserve">となり定価の</t>
    </r>
    <r>
      <rPr>
        <sz val="10"/>
        <rFont val="游ゴシック"/>
        <family val="0"/>
        <charset val="1"/>
      </rPr>
      <t xml:space="preserve">10%</t>
    </r>
    <r>
      <rPr>
        <sz val="10"/>
        <rFont val="WenQuanYi Zen Hei"/>
        <family val="2"/>
      </rPr>
      <t xml:space="preserve">分が実質負担になる。負担が出るのは小さい症例のほうという構造。</t>
    </r>
  </si>
  <si>
    <r>
      <rPr>
        <sz val="10"/>
        <rFont val="WenQuanYi Zen Hei"/>
        <family val="2"/>
      </rPr>
      <t xml:space="preserve">◆ 矯正の治療費は据え置きなので値引きゼロ。実質負担＝別建て請求の検査診断料</t>
    </r>
    <r>
      <rPr>
        <sz val="10"/>
        <rFont val="游ゴシック"/>
        <family val="0"/>
        <charset val="1"/>
      </rPr>
      <t xml:space="preserve">44,000</t>
    </r>
    <r>
      <rPr>
        <sz val="10"/>
        <rFont val="WenQuanYi Zen Hei"/>
        <family val="2"/>
      </rPr>
      <t xml:space="preserve">円（本来もらえたはずの分）が</t>
    </r>
    <r>
      <rPr>
        <sz val="10"/>
        <rFont val="游ゴシック"/>
        <family val="0"/>
        <charset val="1"/>
      </rPr>
      <t xml:space="preserve">1</t>
    </r>
    <r>
      <rPr>
        <sz val="10"/>
        <rFont val="WenQuanYi Zen Hei"/>
        <family val="2"/>
      </rPr>
      <t xml:space="preserve">件ごとに発生する。</t>
    </r>
  </si>
  <si>
    <t xml:space="preserve">【損益分岐】月に何件の紹介が来たら、従来の月額紹介料と同じコストになるか</t>
  </si>
  <si>
    <r>
      <rPr>
        <b val="true"/>
        <sz val="10"/>
        <color rgb="FFFFFFFF"/>
        <rFont val="游ゴシック"/>
        <family val="0"/>
        <charset val="1"/>
      </rPr>
      <t xml:space="preserve">1</t>
    </r>
    <r>
      <rPr>
        <b val="true"/>
        <sz val="10"/>
        <color rgb="FFFFFFFF"/>
        <rFont val="WenQuanYi Zen Hei"/>
        <family val="2"/>
      </rPr>
      <t xml:space="preserve">件あたりの
医院の実質負担</t>
    </r>
  </si>
  <si>
    <r>
      <rPr>
        <b val="true"/>
        <sz val="10"/>
        <color rgb="FFFFFFFF"/>
        <rFont val="WenQuanYi Zen Hei"/>
        <family val="2"/>
      </rPr>
      <t xml:space="preserve">月額 </t>
    </r>
    <r>
      <rPr>
        <b val="true"/>
        <sz val="10"/>
        <color rgb="FFFFFFFF"/>
        <rFont val="游ゴシック"/>
        <family val="0"/>
        <charset val="1"/>
      </rPr>
      <t xml:space="preserve">30,000</t>
    </r>
    <r>
      <rPr>
        <b val="true"/>
        <sz val="10"/>
        <color rgb="FFFFFFFF"/>
        <rFont val="WenQuanYi Zen Hei"/>
        <family val="2"/>
      </rPr>
      <t xml:space="preserve">円
の場合</t>
    </r>
  </si>
  <si>
    <r>
      <rPr>
        <b val="true"/>
        <sz val="10"/>
        <color rgb="FFFFFFFF"/>
        <rFont val="WenQuanYi Zen Hei"/>
        <family val="2"/>
      </rPr>
      <t xml:space="preserve">月額 </t>
    </r>
    <r>
      <rPr>
        <b val="true"/>
        <sz val="10"/>
        <color rgb="FFFFFFFF"/>
        <rFont val="游ゴシック"/>
        <family val="0"/>
        <charset val="1"/>
      </rPr>
      <t xml:space="preserve">50,000</t>
    </r>
    <r>
      <rPr>
        <b val="true"/>
        <sz val="10"/>
        <color rgb="FFFFFFFF"/>
        <rFont val="WenQuanYi Zen Hei"/>
        <family val="2"/>
      </rPr>
      <t xml:space="preserve">円
の場合</t>
    </r>
  </si>
  <si>
    <r>
      <rPr>
        <b val="true"/>
        <sz val="10"/>
        <color rgb="FFFFFFFF"/>
        <rFont val="WenQuanYi Zen Hei"/>
        <family val="2"/>
      </rPr>
      <t xml:space="preserve">月額 </t>
    </r>
    <r>
      <rPr>
        <b val="true"/>
        <sz val="10"/>
        <color rgb="FFFFFFFF"/>
        <rFont val="游ゴシック"/>
        <family val="0"/>
        <charset val="1"/>
      </rPr>
      <t xml:space="preserve">80,000</t>
    </r>
    <r>
      <rPr>
        <b val="true"/>
        <sz val="10"/>
        <color rgb="FFFFFFFF"/>
        <rFont val="WenQuanYi Zen Hei"/>
        <family val="2"/>
      </rPr>
      <t xml:space="preserve">円
の場合</t>
    </r>
  </si>
  <si>
    <r>
      <rPr>
        <b val="true"/>
        <sz val="10"/>
        <color rgb="FFFFFFFF"/>
        <rFont val="WenQuanYi Zen Hei"/>
        <family val="2"/>
      </rPr>
      <t xml:space="preserve">月額 </t>
    </r>
    <r>
      <rPr>
        <b val="true"/>
        <sz val="10"/>
        <color rgb="FFFFFFFF"/>
        <rFont val="游ゴシック"/>
        <family val="0"/>
        <charset val="1"/>
      </rPr>
      <t xml:space="preserve">100,000</t>
    </r>
    <r>
      <rPr>
        <b val="true"/>
        <sz val="10"/>
        <color rgb="FFFFFFFF"/>
        <rFont val="WenQuanYi Zen Hei"/>
        <family val="2"/>
      </rPr>
      <t xml:space="preserve">円
の場合</t>
    </r>
  </si>
  <si>
    <r>
      <rPr>
        <b val="true"/>
        <sz val="10"/>
        <color rgb="FFFFFFFF"/>
        <rFont val="WenQuanYi Zen Hei"/>
        <family val="2"/>
      </rPr>
      <t xml:space="preserve">月額 </t>
    </r>
    <r>
      <rPr>
        <b val="true"/>
        <sz val="10"/>
        <color rgb="FFFFFFFF"/>
        <rFont val="游ゴシック"/>
        <family val="0"/>
        <charset val="1"/>
      </rPr>
      <t xml:space="preserve">150,000</t>
    </r>
    <r>
      <rPr>
        <b val="true"/>
        <sz val="10"/>
        <color rgb="FFFFFFFF"/>
        <rFont val="WenQuanYi Zen Hei"/>
        <family val="2"/>
      </rPr>
      <t xml:space="preserve">円
の場合</t>
    </r>
  </si>
  <si>
    <r>
      <rPr>
        <b val="true"/>
        <sz val="10"/>
        <color rgb="FFFFFFFF"/>
        <rFont val="WenQuanYi Zen Hei"/>
        <family val="2"/>
      </rPr>
      <t xml:space="preserve">上の</t>
    </r>
    <r>
      <rPr>
        <b val="true"/>
        <sz val="10"/>
        <color rgb="FFFFFFFF"/>
        <rFont val="游ゴシック"/>
        <family val="0"/>
        <charset val="1"/>
      </rPr>
      <t xml:space="preserve">D6</t>
    </r>
    <r>
      <rPr>
        <b val="true"/>
        <sz val="10"/>
        <color rgb="FFFFFFFF"/>
        <rFont val="WenQuanYi Zen Hei"/>
        <family val="2"/>
      </rPr>
      <t xml:space="preserve">に入れた
実額の場合</t>
    </r>
  </si>
  <si>
    <t xml:space="preserve">※ 数値は「月◯件までなら、従来の月額紹介料より安く済む」という件数。これを超えた月は従来より支出が増えるが、その分だけ売上も増えている点に注意。</t>
  </si>
  <si>
    <t xml:space="preserve">従来方式と新方式のちがい（構造）</t>
  </si>
  <si>
    <r>
      <rPr>
        <sz val="10"/>
        <rFont val="WenQuanYi Zen Hei"/>
        <family val="2"/>
      </rPr>
      <t xml:space="preserve">◆ 従来（月額固定）：紹介がゼロの月も満額を支払う。年間で </t>
    </r>
    <r>
      <rPr>
        <sz val="10"/>
        <rFont val="游ゴシック"/>
        <family val="0"/>
        <charset val="1"/>
      </rPr>
      <t xml:space="preserve">D7 </t>
    </r>
    <r>
      <rPr>
        <sz val="10"/>
        <rFont val="WenQuanYi Zen Hei"/>
        <family val="2"/>
      </rPr>
      <t xml:space="preserve">セルの金額が確定支出になる。相手の実績と支払いが連動しない。</t>
    </r>
  </si>
  <si>
    <r>
      <rPr>
        <b val="true"/>
        <sz val="10"/>
        <rFont val="WenQuanYi Zen Hei"/>
        <family val="2"/>
      </rPr>
      <t xml:space="preserve">◆ 新方式（来院時の値引き）：来院がなければ負担ゼロ。負担が出るのは必ず売上が立ったときだけで、しかも上表のとおり粗利率</t>
    </r>
    <r>
      <rPr>
        <b val="true"/>
        <sz val="10"/>
        <rFont val="游ゴシック"/>
        <family val="0"/>
        <charset val="1"/>
      </rPr>
      <t xml:space="preserve">65%</t>
    </r>
    <r>
      <rPr>
        <b val="true"/>
        <sz val="10"/>
        <rFont val="WenQuanYi Zen Hei"/>
        <family val="2"/>
      </rPr>
      <t xml:space="preserve">以上は必ず残る。</t>
    </r>
  </si>
  <si>
    <t xml:space="preserve">◆ そのかわり、紹介が想定以上に集中すると値引き総額が青天井になりうる。運用ルールのシートで月間上限・有効期限を必ず決めておくこと。</t>
  </si>
  <si>
    <t xml:space="preserve">松山翼様ご紹介プラン｜運用ルールと確認事項</t>
  </si>
  <si>
    <t xml:space="preserve">配布用の価格表（松山翼様にお渡しする版）とセットで運用してください。以下は医院側の取り決めです。</t>
  </si>
  <si>
    <r>
      <rPr>
        <b val="true"/>
        <sz val="12"/>
        <rFont val="游ゴシック"/>
        <family val="0"/>
        <charset val="1"/>
      </rPr>
      <t xml:space="preserve">1. </t>
    </r>
    <r>
      <rPr>
        <b val="true"/>
        <sz val="12"/>
        <rFont val="WenQuanYi Zen Hei"/>
        <family val="2"/>
      </rPr>
      <t xml:space="preserve">適用条件（価格表にも明記する）</t>
    </r>
  </si>
  <si>
    <t xml:space="preserve">◆ 対象＝松山翼様からのご紹介であれば誰でも。暁の城の在籍者に限定しない（院長決裁事項）。初診の受付時に「松山翼さんの紹介」と申告があった方。</t>
  </si>
  <si>
    <t xml:space="preserve">◆ 【重要】対象を「松山翼様の紹介」とする以上、店舗の在籍者に限定した場合より範囲は広い。紹介の連鎖も起こりうるため、月間上限と有効期限を必ずセットで決める。</t>
  </si>
  <si>
    <t xml:space="preserve">◆ 【重要】自費診療のみが対象。保険診療の一部負担金は法令上、値引き・免除ができないため必ず対象外とする。</t>
  </si>
  <si>
    <r>
      <rPr>
        <sz val="11"/>
        <rFont val="WenQuanYi Zen Hei"/>
        <family val="2"/>
      </rPr>
      <t xml:space="preserve">◆ 他の割引・キャンペーン・モニター価格との併用は不可。本数によるまとめ割引とも併用しない（</t>
    </r>
    <r>
      <rPr>
        <sz val="11"/>
        <rFont val="游ゴシック"/>
        <family val="0"/>
        <charset val="1"/>
      </rPr>
      <t xml:space="preserve">20%OFF</t>
    </r>
    <r>
      <rPr>
        <sz val="11"/>
        <rFont val="WenQuanYi Zen Hei"/>
        <family val="2"/>
      </rPr>
      <t xml:space="preserve">が上限で、それ以上は重ねない）。</t>
    </r>
  </si>
  <si>
    <r>
      <rPr>
        <sz val="11"/>
        <rFont val="WenQuanYi Zen Hei"/>
        <family val="2"/>
      </rPr>
      <t xml:space="preserve">◆ 補綴</t>
    </r>
    <r>
      <rPr>
        <sz val="11"/>
        <rFont val="游ゴシック"/>
        <family val="0"/>
        <charset val="1"/>
      </rPr>
      <t xml:space="preserve">20%OFF</t>
    </r>
    <r>
      <rPr>
        <sz val="11"/>
        <rFont val="WenQuanYi Zen Hei"/>
        <family val="2"/>
      </rPr>
      <t xml:space="preserve">は当院の値引き下限。「もう少し」と言われても、これ以上は下げられない旨を最初に伝えておく。</t>
    </r>
  </si>
  <si>
    <r>
      <rPr>
        <b val="true"/>
        <sz val="12"/>
        <rFont val="游ゴシック"/>
        <family val="0"/>
        <charset val="1"/>
      </rPr>
      <t xml:space="preserve">2. </t>
    </r>
    <r>
      <rPr>
        <b val="true"/>
        <sz val="12"/>
        <rFont val="WenQuanYi Zen Hei"/>
        <family val="2"/>
      </rPr>
      <t xml:space="preserve">価格の中身</t>
    </r>
  </si>
  <si>
    <r>
      <rPr>
        <sz val="11"/>
        <rFont val="WenQuanYi Zen Hei"/>
        <family val="2"/>
      </rPr>
      <t xml:space="preserve">◆ 補綴（セラミック治療）：全品目 一律</t>
    </r>
    <r>
      <rPr>
        <sz val="11"/>
        <rFont val="游ゴシック"/>
        <family val="0"/>
        <charset val="1"/>
      </rPr>
      <t xml:space="preserve">20%OFF</t>
    </r>
    <r>
      <rPr>
        <sz val="11"/>
        <rFont val="WenQuanYi Zen Hei"/>
        <family val="2"/>
      </rPr>
      <t xml:space="preserve">。</t>
    </r>
    <r>
      <rPr>
        <sz val="11"/>
        <rFont val="游ゴシック"/>
        <family val="0"/>
        <charset val="1"/>
      </rPr>
      <t xml:space="preserve">1</t>
    </r>
    <r>
      <rPr>
        <sz val="11"/>
        <rFont val="WenQuanYi Zen Hei"/>
        <family val="2"/>
      </rPr>
      <t xml:space="preserve">本から適用、本数の条件なし。</t>
    </r>
  </si>
  <si>
    <r>
      <rPr>
        <sz val="11"/>
        <rFont val="WenQuanYi Zen Hei"/>
        <family val="2"/>
      </rPr>
      <t xml:space="preserve">◆ 矯正（インビザライン）：請求は【①矯正治療費】と【②矯正検査診断料 </t>
    </r>
    <r>
      <rPr>
        <sz val="11"/>
        <rFont val="游ゴシック"/>
        <family val="0"/>
        <charset val="1"/>
      </rPr>
      <t xml:space="preserve">44,000</t>
    </r>
    <r>
      <rPr>
        <sz val="11"/>
        <rFont val="WenQuanYi Zen Hei"/>
        <family val="2"/>
      </rPr>
      <t xml:space="preserve">円】の別建て。①は定価据え置きのまま、②のみを無料にする。</t>
    </r>
  </si>
  <si>
    <r>
      <rPr>
        <sz val="11"/>
        <rFont val="WenQuanYi Zen Hei"/>
        <family val="2"/>
      </rPr>
      <t xml:space="preserve">◆ 矯正のパッケージ価格を下げないのは、粗利率が</t>
    </r>
    <r>
      <rPr>
        <sz val="11"/>
        <rFont val="游ゴシック"/>
        <family val="0"/>
        <charset val="1"/>
      </rPr>
      <t xml:space="preserve">64</t>
    </r>
    <r>
      <rPr>
        <sz val="11"/>
        <rFont val="WenQuanYi Zen Hei"/>
        <family val="2"/>
      </rPr>
      <t xml:space="preserve">〜</t>
    </r>
    <r>
      <rPr>
        <sz val="11"/>
        <rFont val="游ゴシック"/>
        <family val="0"/>
        <charset val="1"/>
      </rPr>
      <t xml:space="preserve">76%</t>
    </r>
    <r>
      <rPr>
        <sz val="11"/>
        <rFont val="WenQuanYi Zen Hei"/>
        <family val="2"/>
      </rPr>
      <t xml:space="preserve">と低く値引きの余地がないため。検査診断料は原価ゼロなので、同じ「お得感」を医院の持ち出しゼロで出せる。</t>
    </r>
  </si>
  <si>
    <t xml:space="preserve">◆ ホワイトニング・インプラント等は元データに粗利情報が無いため本表に含めていない。追加したい場合は原価がわかり次第、同じ形式で追記する。</t>
  </si>
  <si>
    <r>
      <rPr>
        <b val="true"/>
        <sz val="12"/>
        <rFont val="游ゴシック"/>
        <family val="0"/>
        <charset val="1"/>
      </rPr>
      <t xml:space="preserve">3. </t>
    </r>
    <r>
      <rPr>
        <b val="true"/>
        <sz val="12"/>
        <rFont val="WenQuanYi Zen Hei"/>
        <family val="2"/>
      </rPr>
      <t xml:space="preserve">上限と期限（必ず決めておく）</t>
    </r>
  </si>
  <si>
    <r>
      <rPr>
        <sz val="11"/>
        <rFont val="WenQuanYi Zen Hei"/>
        <family val="2"/>
      </rPr>
      <t xml:space="preserve">◆ 月間の値引き総額に上限を設ける（例：月</t>
    </r>
    <r>
      <rPr>
        <sz val="11"/>
        <rFont val="游ゴシック"/>
        <family val="0"/>
        <charset val="1"/>
      </rPr>
      <t xml:space="preserve">20</t>
    </r>
    <r>
      <rPr>
        <sz val="11"/>
        <rFont val="WenQuanYi Zen Hei"/>
        <family val="2"/>
      </rPr>
      <t xml:space="preserve">万円分まで）。上限に達した場合は翌月に繰り越し、という運用にすると医院側の読みが立つ。</t>
    </r>
  </si>
  <si>
    <r>
      <rPr>
        <sz val="11"/>
        <rFont val="WenQuanYi Zen Hei"/>
        <family val="2"/>
      </rPr>
      <t xml:space="preserve">◆ 有効期限を切る（例：初回は</t>
    </r>
    <r>
      <rPr>
        <sz val="11"/>
        <rFont val="游ゴシック"/>
        <family val="0"/>
        <charset val="1"/>
      </rPr>
      <t xml:space="preserve">6</t>
    </r>
    <r>
      <rPr>
        <sz val="11"/>
        <rFont val="WenQuanYi Zen Hei"/>
        <family val="2"/>
      </rPr>
      <t xml:space="preserve">か月間、以降は実績を見て更新）。無期限にすると、紹介が止まっても価格だけが残り続ける。</t>
    </r>
  </si>
  <si>
    <t xml:space="preserve">◆ 更新の判断材料として、月ごとの「紹介来院数／売上／値引き総額」を必ず記録する。従来の月額紹介料と比べて安いか高いかを毎月見る。</t>
  </si>
  <si>
    <r>
      <rPr>
        <b val="true"/>
        <sz val="12"/>
        <rFont val="游ゴシック"/>
        <family val="0"/>
        <charset val="1"/>
      </rPr>
      <t xml:space="preserve">4. </t>
    </r>
    <r>
      <rPr>
        <b val="true"/>
        <sz val="12"/>
        <rFont val="WenQuanYi Zen Hei"/>
        <family val="2"/>
      </rPr>
      <t xml:space="preserve">紹介の確認方法</t>
    </r>
  </si>
  <si>
    <r>
      <rPr>
        <sz val="11"/>
        <rFont val="WenQuanYi Zen Hei"/>
        <family val="2"/>
      </rPr>
      <t xml:space="preserve">◆ 紹介カード（暁の城の名前入り）を渡す、または松山翼様からの</t>
    </r>
    <r>
      <rPr>
        <sz val="11"/>
        <rFont val="游ゴシック"/>
        <family val="0"/>
        <charset val="1"/>
      </rPr>
      <t xml:space="preserve">LINE</t>
    </r>
    <r>
      <rPr>
        <sz val="11"/>
        <rFont val="WenQuanYi Zen Hei"/>
        <family val="2"/>
      </rPr>
      <t xml:space="preserve">・</t>
    </r>
    <r>
      <rPr>
        <sz val="11"/>
        <rFont val="游ゴシック"/>
        <family val="0"/>
        <charset val="1"/>
      </rPr>
      <t xml:space="preserve">DM</t>
    </r>
    <r>
      <rPr>
        <sz val="11"/>
        <rFont val="WenQuanYi Zen Hei"/>
        <family val="2"/>
      </rPr>
      <t xml:space="preserve">のスクリーンショット提示を条件にする。口頭申告だけだと後から検証できない。</t>
    </r>
  </si>
  <si>
    <t xml:space="preserve">◆ カルテまたは予約システムに「松山翼様紹介」のタグを付け、集計できるようにする。</t>
  </si>
  <si>
    <r>
      <rPr>
        <b val="true"/>
        <sz val="12"/>
        <rFont val="游ゴシック"/>
        <family val="0"/>
        <charset val="1"/>
      </rPr>
      <t xml:space="preserve">5. </t>
    </r>
    <r>
      <rPr>
        <b val="true"/>
        <sz val="12"/>
        <rFont val="WenQuanYi Zen Hei"/>
        <family val="2"/>
      </rPr>
      <t xml:space="preserve">松山翼様への説明のしかた（ここが交渉のポイント）</t>
    </r>
  </si>
  <si>
    <t xml:space="preserve">◆ 「紹介料をやめる」ではなく「紹介料を、ご紹介した方が直接受け取れる形に変える」という説明にする。松山翼様から見れば人に勧めやすい材料になる。</t>
  </si>
  <si>
    <r>
      <rPr>
        <sz val="11"/>
        <rFont val="WenQuanYi Zen Hei"/>
        <family val="2"/>
      </rPr>
      <t xml:space="preserve">◆ 補綴</t>
    </r>
    <r>
      <rPr>
        <sz val="11"/>
        <rFont val="游ゴシック"/>
        <family val="0"/>
        <charset val="1"/>
      </rPr>
      <t xml:space="preserve">20%OFF</t>
    </r>
    <r>
      <rPr>
        <sz val="11"/>
        <rFont val="WenQuanYi Zen Hei"/>
        <family val="2"/>
      </rPr>
      <t xml:space="preserve">は当院が出せる最大割引であり、通常のお客様には</t>
    </r>
    <r>
      <rPr>
        <sz val="11"/>
        <rFont val="游ゴシック"/>
        <family val="0"/>
        <charset val="1"/>
      </rPr>
      <t xml:space="preserve">10</t>
    </r>
    <r>
      <rPr>
        <sz val="11"/>
        <rFont val="WenQuanYi Zen Hei"/>
        <family val="2"/>
      </rPr>
      <t xml:space="preserve">本以上まとめて治療した方にしか出していない価格である、と伝える。</t>
    </r>
  </si>
  <si>
    <r>
      <rPr>
        <sz val="11"/>
        <rFont val="WenQuanYi Zen Hei"/>
        <family val="2"/>
      </rPr>
      <t xml:space="preserve">◆ 矯正は「</t>
    </r>
    <r>
      <rPr>
        <sz val="11"/>
        <rFont val="游ゴシック"/>
        <family val="0"/>
        <charset val="1"/>
      </rPr>
      <t xml:space="preserve">44,000</t>
    </r>
    <r>
      <rPr>
        <sz val="11"/>
        <rFont val="WenQuanYi Zen Hei"/>
        <family val="2"/>
      </rPr>
      <t xml:space="preserve">円分が無料」という金額で伝える。パーセントで言うと</t>
    </r>
    <r>
      <rPr>
        <sz val="11"/>
        <rFont val="游ゴシック"/>
        <family val="0"/>
        <charset val="1"/>
      </rPr>
      <t xml:space="preserve">5</t>
    </r>
    <r>
      <rPr>
        <sz val="11"/>
        <rFont val="WenQuanYi Zen Hei"/>
        <family val="2"/>
      </rPr>
      <t xml:space="preserve">〜</t>
    </r>
    <r>
      <rPr>
        <sz val="11"/>
        <rFont val="游ゴシック"/>
        <family val="0"/>
        <charset val="1"/>
      </rPr>
      <t xml:space="preserve">8%</t>
    </r>
    <r>
      <rPr>
        <sz val="11"/>
        <rFont val="WenQuanYi Zen Hei"/>
        <family val="2"/>
      </rPr>
      <t xml:space="preserve">相当にしか見えず、実額のほうが強い。</t>
    </r>
  </si>
  <si>
    <t xml:space="preserve">◆ 松山翼様個人には現金が入らなくなる点は必ず正面から確認する。ここが合意できないと制度が続かない。</t>
  </si>
  <si>
    <r>
      <rPr>
        <b val="true"/>
        <sz val="12"/>
        <rFont val="游ゴシック"/>
        <family val="0"/>
        <charset val="1"/>
      </rPr>
      <t xml:space="preserve">6. </t>
    </r>
    <r>
      <rPr>
        <b val="true"/>
        <sz val="12"/>
        <rFont val="WenQuanYi Zen Hei"/>
        <family val="2"/>
      </rPr>
      <t xml:space="preserve">法務・税務で確認しておきたいこと（顧問の先生に要確認）</t>
    </r>
  </si>
  <si>
    <t xml:space="preserve">◆ 患者紹介の対価として金銭を継続的に支払う形（従来の月額紹介料）は、自費診療であっても患者紹介ビジネスとして問題視されうる論点がある。</t>
  </si>
  <si>
    <t xml:space="preserve">◆ 値引きに切り替えると、金銭の授受そのものが無くなるため、この論点はシンプルになる。切り替えは制度面から見ても合理的。</t>
  </si>
  <si>
    <t xml:space="preserve">◆ ただし最終的な適法性の判断は顧問弁護士・顧問税理士に確認すること。ここに書いたのはあくまで検討材料であり、法的な結論ではない。</t>
  </si>
  <si>
    <t xml:space="preserve">◆ 会計上も、紹介料（費用計上）から売上値引（売上の減額）に変わるため、税理士に処理方法を共有しておく。</t>
  </si>
  <si>
    <r>
      <rPr>
        <b val="true"/>
        <sz val="12"/>
        <rFont val="游ゴシック"/>
        <family val="0"/>
        <charset val="1"/>
      </rPr>
      <t xml:space="preserve">7. </t>
    </r>
    <r>
      <rPr>
        <b val="true"/>
        <sz val="12"/>
        <rFont val="WenQuanYi Zen Hei"/>
        <family val="2"/>
      </rPr>
      <t xml:space="preserve">未取得の情報</t>
    </r>
  </si>
  <si>
    <r>
      <rPr>
        <sz val="11"/>
        <rFont val="WenQuanYi Zen Hei"/>
        <family val="2"/>
      </rPr>
      <t xml:space="preserve">◆ 以前松山翼様とは別の提携先にお送りした </t>
    </r>
    <r>
      <rPr>
        <sz val="11"/>
        <rFont val="游ゴシック"/>
        <family val="0"/>
        <charset val="1"/>
      </rPr>
      <t xml:space="preserve">Canva </t>
    </r>
    <r>
      <rPr>
        <sz val="11"/>
        <rFont val="WenQuanYi Zen Hei"/>
        <family val="2"/>
      </rPr>
      <t xml:space="preserve">の価格表（</t>
    </r>
    <r>
      <rPr>
        <sz val="11"/>
        <rFont val="游ゴシック"/>
        <family val="0"/>
        <charset val="1"/>
      </rPr>
      <t xml:space="preserve">canva.link</t>
    </r>
    <r>
      <rPr>
        <sz val="11"/>
        <rFont val="WenQuanYi Zen Hei"/>
        <family val="2"/>
      </rPr>
      <t xml:space="preserve">）は、こちらのネットワーク制限で開けませんでした。</t>
    </r>
  </si>
  <si>
    <t xml:space="preserve">◆ 既存の提携先価格表と条件を揃えたい場合は、内容（割引率・特典・対象範囲）を共有いただければ、この表を合わせて調整します。</t>
  </si>
  <si>
    <r>
      <rPr>
        <b val="true"/>
        <sz val="11"/>
        <color rgb="FFC00000"/>
        <rFont val="WenQuanYi Zen Hei"/>
        <family val="2"/>
      </rPr>
      <t xml:space="preserve">◆ 従来松山翼様にお支払いしていた月額紹介料の実額も未共有のため、損益分岐シミュレーションでは仮に</t>
    </r>
    <r>
      <rPr>
        <b val="true"/>
        <sz val="11"/>
        <color rgb="FFC00000"/>
        <rFont val="游ゴシック"/>
        <family val="0"/>
        <charset val="1"/>
      </rPr>
      <t xml:space="preserve">50,000</t>
    </r>
    <r>
      <rPr>
        <b val="true"/>
        <sz val="11"/>
        <color rgb="FFC00000"/>
        <rFont val="WenQuanYi Zen Hei"/>
        <family val="2"/>
      </rPr>
      <t xml:space="preserve">円で計算しています（</t>
    </r>
    <r>
      <rPr>
        <b val="true"/>
        <sz val="11"/>
        <color rgb="FFC00000"/>
        <rFont val="游ゴシック"/>
        <family val="0"/>
        <charset val="1"/>
      </rPr>
      <t xml:space="preserve">D6</t>
    </r>
    <r>
      <rPr>
        <b val="true"/>
        <sz val="11"/>
        <color rgb="FFC00000"/>
        <rFont val="WenQuanYi Zen Hei"/>
        <family val="2"/>
      </rPr>
      <t xml:space="preserve">セルを実額に書き換えてください）。</t>
    </r>
  </si>
</sst>
</file>

<file path=xl/styles.xml><?xml version="1.0" encoding="utf-8"?>
<styleSheet xmlns="http://schemas.openxmlformats.org/spreadsheetml/2006/main">
  <numFmts count="4">
    <numFmt numFmtId="164" formatCode="General"/>
    <numFmt numFmtId="165" formatCode="0.0%"/>
    <numFmt numFmtId="166" formatCode="#,##0"/>
    <numFmt numFmtId="167" formatCode="0.0"/>
  </numFmts>
  <fonts count="30">
    <font>
      <sz val="11"/>
      <color theme="1"/>
      <name val="Calibri"/>
      <family val="2"/>
      <charset val="1"/>
    </font>
    <font>
      <sz val="10"/>
      <name val="Arial"/>
      <family val="0"/>
    </font>
    <font>
      <sz val="10"/>
      <name val="Arial"/>
      <family val="0"/>
    </font>
    <font>
      <sz val="10"/>
      <name val="Arial"/>
      <family val="0"/>
    </font>
    <font>
      <b val="true"/>
      <sz val="16"/>
      <name val="WenQuanYi Zen Hei"/>
      <family val="2"/>
    </font>
    <font>
      <sz val="9"/>
      <color rgb="FF666666"/>
      <name val="WenQuanYi Zen Hei"/>
      <family val="2"/>
    </font>
    <font>
      <sz val="9"/>
      <color rgb="FF666666"/>
      <name val="游ゴシック"/>
      <family val="0"/>
      <charset val="1"/>
    </font>
    <font>
      <b val="true"/>
      <sz val="11"/>
      <name val="WenQuanYi Zen Hei"/>
      <family val="2"/>
    </font>
    <font>
      <sz val="11"/>
      <name val="WenQuanYi Zen Hei"/>
      <family val="2"/>
    </font>
    <font>
      <b val="true"/>
      <sz val="11"/>
      <color rgb="FF0000FF"/>
      <name val="游ゴシック"/>
      <family val="0"/>
      <charset val="1"/>
    </font>
    <font>
      <sz val="11"/>
      <name val="游ゴシック"/>
      <family val="0"/>
      <charset val="1"/>
    </font>
    <font>
      <b val="true"/>
      <sz val="10"/>
      <color rgb="FFFFFFFF"/>
      <name val="WenQuanYi Zen Hei"/>
      <family val="2"/>
    </font>
    <font>
      <b val="true"/>
      <sz val="10"/>
      <color rgb="FFFFFFFF"/>
      <name val="游ゴシック"/>
      <family val="0"/>
      <charset val="1"/>
    </font>
    <font>
      <b val="true"/>
      <sz val="11"/>
      <name val="游ゴシック"/>
      <family val="0"/>
      <charset val="1"/>
    </font>
    <font>
      <sz val="9"/>
      <name val="游ゴシック"/>
      <family val="0"/>
      <charset val="1"/>
    </font>
    <font>
      <sz val="9"/>
      <name val="WenQuanYi Zen Hei"/>
      <family val="2"/>
    </font>
    <font>
      <sz val="10"/>
      <name val="游ゴシック"/>
      <family val="0"/>
      <charset val="1"/>
    </font>
    <font>
      <sz val="10"/>
      <name val="WenQuanYi Zen Hei"/>
      <family val="2"/>
    </font>
    <font>
      <sz val="10"/>
      <color rgb="FFC00000"/>
      <name val="WenQuanYi Zen Hei"/>
      <family val="2"/>
    </font>
    <font>
      <sz val="10"/>
      <color rgb="FFC00000"/>
      <name val="游ゴシック"/>
      <family val="0"/>
      <charset val="1"/>
    </font>
    <font>
      <sz val="10"/>
      <name val="Arial"/>
      <family val="2"/>
    </font>
    <font>
      <b val="true"/>
      <sz val="10"/>
      <name val="WenQuanYi Zen Hei"/>
      <family val="2"/>
    </font>
    <font>
      <b val="true"/>
      <sz val="10"/>
      <name val="游ゴシック"/>
      <family val="0"/>
      <charset val="1"/>
    </font>
    <font>
      <b val="true"/>
      <sz val="12"/>
      <color rgb="FF0000FF"/>
      <name val="游ゴシック"/>
      <family val="0"/>
      <charset val="1"/>
    </font>
    <font>
      <b val="true"/>
      <sz val="10"/>
      <color rgb="FFC00000"/>
      <name val="WenQuanYi Zen Hei"/>
      <family val="2"/>
    </font>
    <font>
      <sz val="10"/>
      <color rgb="FF666666"/>
      <name val="WenQuanYi Zen Hei"/>
      <family val="2"/>
    </font>
    <font>
      <b val="true"/>
      <sz val="12"/>
      <name val="游ゴシック"/>
      <family val="0"/>
      <charset val="1"/>
    </font>
    <font>
      <b val="true"/>
      <sz val="12"/>
      <name val="WenQuanYi Zen Hei"/>
      <family val="2"/>
    </font>
    <font>
      <b val="true"/>
      <sz val="11"/>
      <color rgb="FFC00000"/>
      <name val="WenQuanYi Zen Hei"/>
      <family val="2"/>
    </font>
    <font>
      <b val="true"/>
      <sz val="11"/>
      <color rgb="FFC00000"/>
      <name val="游ゴシック"/>
      <family val="0"/>
      <charset val="1"/>
    </font>
  </fonts>
  <fills count="8">
    <fill>
      <patternFill patternType="none"/>
    </fill>
    <fill>
      <patternFill patternType="gray125"/>
    </fill>
    <fill>
      <patternFill patternType="solid">
        <fgColor rgb="FFFFF2CC"/>
        <bgColor rgb="FFF2F2F2"/>
      </patternFill>
    </fill>
    <fill>
      <patternFill patternType="solid">
        <fgColor rgb="FF1F4E79"/>
        <bgColor rgb="FF003366"/>
      </patternFill>
    </fill>
    <fill>
      <patternFill patternType="solid">
        <fgColor rgb="FFDCE6F1"/>
        <bgColor rgb="FFE2EFDA"/>
      </patternFill>
    </fill>
    <fill>
      <patternFill patternType="solid">
        <fgColor rgb="FFE2EFDA"/>
        <bgColor rgb="FFDCE6F1"/>
      </patternFill>
    </fill>
    <fill>
      <patternFill patternType="solid">
        <fgColor rgb="FFFCE4EC"/>
        <bgColor rgb="FFF2F2F2"/>
      </patternFill>
    </fill>
    <fill>
      <patternFill patternType="solid">
        <fgColor rgb="FFF2F2F2"/>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3" fillId="5"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0" fillId="6"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23" fillId="2"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6" fontId="13" fillId="6"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13" fillId="5"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6" fillId="4"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1"/>
    <col collapsed="false" customWidth="true" hidden="false" outlineLevel="0" max="4" min="4" style="0" width="14"/>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8" min="8" style="0" width="16"/>
    <col collapsed="false" customWidth="true" hidden="false" outlineLevel="0" max="9" min="9" style="0" width="14"/>
    <col collapsed="false" customWidth="true" hidden="false" outlineLevel="0" max="10" min="10" style="0" width="46"/>
  </cols>
  <sheetData>
    <row r="1" customFormat="false" ht="19.7" hidden="false" customHeight="false" outlineLevel="0" collapsed="false">
      <c r="A1" s="1" t="s">
        <v>0</v>
      </c>
      <c r="B1" s="1"/>
      <c r="C1" s="1"/>
      <c r="D1" s="1"/>
      <c r="E1" s="1"/>
      <c r="F1" s="1"/>
      <c r="G1" s="1"/>
      <c r="H1" s="1"/>
      <c r="I1" s="1"/>
      <c r="J1" s="1"/>
    </row>
    <row r="2" customFormat="false" ht="13.4" hidden="false" customHeight="false" outlineLevel="0" collapsed="false">
      <c r="A2" s="2" t="s">
        <v>1</v>
      </c>
      <c r="B2" s="2"/>
      <c r="C2" s="2"/>
      <c r="D2" s="2"/>
      <c r="E2" s="2"/>
      <c r="F2" s="2"/>
      <c r="G2" s="2"/>
      <c r="H2" s="2"/>
      <c r="I2" s="2"/>
      <c r="J2" s="2"/>
    </row>
    <row r="3" customFormat="false" ht="13.4" hidden="false" customHeight="false" outlineLevel="0" collapsed="false">
      <c r="A3" s="2" t="s">
        <v>2</v>
      </c>
      <c r="B3" s="2"/>
      <c r="C3" s="2"/>
      <c r="D3" s="2"/>
      <c r="E3" s="2"/>
      <c r="F3" s="2"/>
      <c r="G3" s="2"/>
      <c r="H3" s="2"/>
      <c r="I3" s="2"/>
      <c r="J3" s="2"/>
    </row>
    <row r="5" customFormat="false" ht="15" hidden="false" customHeight="false" outlineLevel="0" collapsed="false">
      <c r="A5" s="3" t="s">
        <v>3</v>
      </c>
      <c r="B5" s="3"/>
      <c r="C5" s="3"/>
      <c r="D5" s="3"/>
      <c r="E5" s="3"/>
      <c r="F5" s="3"/>
      <c r="G5" s="3"/>
      <c r="H5" s="3"/>
      <c r="I5" s="3"/>
      <c r="J5" s="3"/>
    </row>
    <row r="6" customFormat="false" ht="15" hidden="false" customHeight="false" outlineLevel="0" collapsed="false">
      <c r="A6" s="4" t="s">
        <v>4</v>
      </c>
      <c r="C6" s="5" t="n">
        <v>0.2</v>
      </c>
      <c r="D6" s="6" t="s">
        <v>5</v>
      </c>
    </row>
    <row r="7" customFormat="false" ht="15" hidden="false" customHeight="false" outlineLevel="0" collapsed="false">
      <c r="A7" s="4" t="s">
        <v>6</v>
      </c>
      <c r="C7" s="5" t="n">
        <v>0.1</v>
      </c>
      <c r="D7" s="7" t="s">
        <v>7</v>
      </c>
    </row>
    <row r="9" customFormat="false" ht="31.5" hidden="false" customHeight="true" outlineLevel="0" collapsed="false">
      <c r="A9" s="8" t="s">
        <v>8</v>
      </c>
      <c r="B9" s="8" t="s">
        <v>9</v>
      </c>
      <c r="C9" s="8" t="s">
        <v>10</v>
      </c>
      <c r="D9" s="8" t="s">
        <v>11</v>
      </c>
      <c r="E9" s="8" t="s">
        <v>12</v>
      </c>
      <c r="F9" s="8" t="s">
        <v>13</v>
      </c>
      <c r="G9" s="8" t="s">
        <v>14</v>
      </c>
      <c r="H9" s="8" t="s">
        <v>15</v>
      </c>
      <c r="I9" s="8" t="s">
        <v>16</v>
      </c>
      <c r="J9" s="8" t="s">
        <v>17</v>
      </c>
    </row>
    <row r="10" customFormat="false" ht="14.9" hidden="false" customHeight="false" outlineLevel="0" collapsed="false">
      <c r="A10" s="9" t="s">
        <v>18</v>
      </c>
      <c r="B10" s="9"/>
      <c r="C10" s="9"/>
      <c r="D10" s="9"/>
      <c r="E10" s="9"/>
      <c r="F10" s="9"/>
      <c r="G10" s="9"/>
      <c r="H10" s="9"/>
      <c r="I10" s="9"/>
      <c r="J10" s="9"/>
    </row>
    <row r="11" customFormat="false" ht="15" hidden="false" customHeight="false" outlineLevel="0" collapsed="false">
      <c r="A11" s="4" t="s">
        <v>19</v>
      </c>
      <c r="B11" s="10" t="n">
        <v>99000</v>
      </c>
      <c r="C11" s="10" t="n">
        <v>10136</v>
      </c>
      <c r="D11" s="11" t="n">
        <f aca="false">ROUND(B11*(1-$C$6),0)</f>
        <v>79200</v>
      </c>
      <c r="E11" s="10" t="n">
        <f aca="false">B11-D11</f>
        <v>19800</v>
      </c>
      <c r="F11" s="10" t="n">
        <f aca="false">D11-C11</f>
        <v>69064</v>
      </c>
      <c r="G11" s="12" t="n">
        <f aca="false">F11/D11</f>
        <v>0.872020202020202</v>
      </c>
      <c r="H11" s="10" t="n">
        <f aca="false">ROUND(B11*(1-$C$7),0)</f>
        <v>89100</v>
      </c>
      <c r="I11" s="13" t="n">
        <f aca="false">H11-D11</f>
        <v>9900</v>
      </c>
      <c r="J11" s="14" t="s">
        <v>20</v>
      </c>
    </row>
    <row r="12" customFormat="false" ht="15" hidden="false" customHeight="false" outlineLevel="0" collapsed="false">
      <c r="A12" s="15" t="s">
        <v>21</v>
      </c>
      <c r="B12" s="10" t="n">
        <v>99000</v>
      </c>
      <c r="C12" s="10" t="n">
        <v>10136</v>
      </c>
      <c r="D12" s="11" t="n">
        <f aca="false">ROUND(B12*(1-$C$6),0)</f>
        <v>79200</v>
      </c>
      <c r="E12" s="10" t="n">
        <f aca="false">B12-D12</f>
        <v>19800</v>
      </c>
      <c r="F12" s="10" t="n">
        <f aca="false">D12-C12</f>
        <v>69064</v>
      </c>
      <c r="G12" s="12" t="n">
        <f aca="false">F12/D12</f>
        <v>0.872020202020202</v>
      </c>
      <c r="H12" s="10" t="n">
        <f aca="false">ROUND(B12*(1-$C$7),0)</f>
        <v>89100</v>
      </c>
      <c r="I12" s="13" t="n">
        <f aca="false">H12-D12</f>
        <v>9900</v>
      </c>
      <c r="J12" s="14"/>
    </row>
    <row r="13" customFormat="false" ht="15" hidden="false" customHeight="false" outlineLevel="0" collapsed="false">
      <c r="A13" s="4" t="s">
        <v>22</v>
      </c>
      <c r="B13" s="10" t="n">
        <v>55000</v>
      </c>
      <c r="C13" s="10" t="n">
        <v>10136</v>
      </c>
      <c r="D13" s="11" t="n">
        <f aca="false">ROUND(B13*(1-$C$6),0)</f>
        <v>44000</v>
      </c>
      <c r="E13" s="10" t="n">
        <f aca="false">B13-D13</f>
        <v>11000</v>
      </c>
      <c r="F13" s="10" t="n">
        <f aca="false">D13-C13</f>
        <v>33864</v>
      </c>
      <c r="G13" s="12" t="n">
        <f aca="false">F13/D13</f>
        <v>0.769636363636364</v>
      </c>
      <c r="H13" s="10" t="n">
        <f aca="false">ROUND(B13*(1-$C$7),0)</f>
        <v>49500</v>
      </c>
      <c r="I13" s="13" t="n">
        <f aca="false">H13-D13</f>
        <v>5500</v>
      </c>
      <c r="J13" s="14"/>
    </row>
    <row r="14" customFormat="false" ht="15" hidden="false" customHeight="false" outlineLevel="0" collapsed="false">
      <c r="A14" s="15" t="s">
        <v>23</v>
      </c>
      <c r="B14" s="10" t="n">
        <v>55000</v>
      </c>
      <c r="C14" s="10" t="n">
        <v>10136</v>
      </c>
      <c r="D14" s="11" t="n">
        <f aca="false">ROUND(B14*(1-$C$6),0)</f>
        <v>44000</v>
      </c>
      <c r="E14" s="10" t="n">
        <f aca="false">B14-D14</f>
        <v>11000</v>
      </c>
      <c r="F14" s="10" t="n">
        <f aca="false">D14-C14</f>
        <v>33864</v>
      </c>
      <c r="G14" s="12" t="n">
        <f aca="false">F14/D14</f>
        <v>0.769636363636364</v>
      </c>
      <c r="H14" s="10" t="n">
        <f aca="false">ROUND(B14*(1-$C$7),0)</f>
        <v>49500</v>
      </c>
      <c r="I14" s="13" t="n">
        <f aca="false">H14-D14</f>
        <v>5500</v>
      </c>
      <c r="J14" s="14"/>
    </row>
    <row r="15" customFormat="false" ht="14.9" hidden="false" customHeight="false" outlineLevel="0" collapsed="false">
      <c r="A15" s="9" t="s">
        <v>24</v>
      </c>
      <c r="B15" s="9"/>
      <c r="C15" s="9"/>
      <c r="D15" s="9"/>
      <c r="E15" s="9"/>
      <c r="F15" s="9"/>
      <c r="G15" s="9"/>
      <c r="H15" s="9"/>
      <c r="I15" s="9"/>
      <c r="J15" s="9"/>
    </row>
    <row r="16" customFormat="false" ht="15" hidden="false" customHeight="false" outlineLevel="0" collapsed="false">
      <c r="A16" s="4" t="s">
        <v>25</v>
      </c>
      <c r="B16" s="10" t="n">
        <v>143000</v>
      </c>
      <c r="C16" s="10" t="n">
        <v>27000</v>
      </c>
      <c r="D16" s="11" t="n">
        <f aca="false">ROUND(B16*(1-$C$6),0)</f>
        <v>114400</v>
      </c>
      <c r="E16" s="10" t="n">
        <f aca="false">B16-D16</f>
        <v>28600</v>
      </c>
      <c r="F16" s="10" t="n">
        <f aca="false">D16-C16</f>
        <v>87400</v>
      </c>
      <c r="G16" s="12" t="n">
        <f aca="false">F16/D16</f>
        <v>0.763986013986014</v>
      </c>
      <c r="H16" s="10" t="n">
        <f aca="false">ROUND(B16*(1-$C$7),0)</f>
        <v>128700</v>
      </c>
      <c r="I16" s="13" t="n">
        <f aca="false">H16-D16</f>
        <v>14300</v>
      </c>
      <c r="J16" s="16" t="s">
        <v>26</v>
      </c>
    </row>
    <row r="17" customFormat="false" ht="15" hidden="false" customHeight="false" outlineLevel="0" collapsed="false">
      <c r="A17" s="4" t="s">
        <v>27</v>
      </c>
      <c r="B17" s="10" t="n">
        <v>110000</v>
      </c>
      <c r="C17" s="10" t="n">
        <v>19000</v>
      </c>
      <c r="D17" s="11" t="n">
        <f aca="false">ROUND(B17*(1-$C$6),0)</f>
        <v>88000</v>
      </c>
      <c r="E17" s="10" t="n">
        <f aca="false">B17-D17</f>
        <v>22000</v>
      </c>
      <c r="F17" s="10" t="n">
        <f aca="false">D17-C17</f>
        <v>69000</v>
      </c>
      <c r="G17" s="12" t="n">
        <f aca="false">F17/D17</f>
        <v>0.784090909090909</v>
      </c>
      <c r="H17" s="10" t="n">
        <f aca="false">ROUND(B17*(1-$C$7),0)</f>
        <v>99000</v>
      </c>
      <c r="I17" s="13" t="n">
        <f aca="false">H17-D17</f>
        <v>11000</v>
      </c>
      <c r="J17" s="16" t="s">
        <v>28</v>
      </c>
    </row>
    <row r="18" customFormat="false" ht="15" hidden="false" customHeight="false" outlineLevel="0" collapsed="false">
      <c r="A18" s="4" t="s">
        <v>29</v>
      </c>
      <c r="B18" s="10" t="n">
        <v>110000</v>
      </c>
      <c r="C18" s="10" t="n">
        <v>16000</v>
      </c>
      <c r="D18" s="11" t="n">
        <f aca="false">ROUND(B18*(1-$C$6),0)</f>
        <v>88000</v>
      </c>
      <c r="E18" s="10" t="n">
        <f aca="false">B18-D18</f>
        <v>22000</v>
      </c>
      <c r="F18" s="10" t="n">
        <f aca="false">D18-C18</f>
        <v>72000</v>
      </c>
      <c r="G18" s="12" t="n">
        <f aca="false">F18/D18</f>
        <v>0.818181818181818</v>
      </c>
      <c r="H18" s="10" t="n">
        <f aca="false">ROUND(B18*(1-$C$7),0)</f>
        <v>99000</v>
      </c>
      <c r="I18" s="13" t="n">
        <f aca="false">H18-D18</f>
        <v>11000</v>
      </c>
      <c r="J18" s="14" t="s">
        <v>30</v>
      </c>
    </row>
    <row r="19" customFormat="false" ht="15" hidden="false" customHeight="false" outlineLevel="0" collapsed="false">
      <c r="A19" s="4" t="s">
        <v>31</v>
      </c>
      <c r="B19" s="10" t="n">
        <v>99000</v>
      </c>
      <c r="C19" s="10" t="n">
        <v>27000</v>
      </c>
      <c r="D19" s="11" t="n">
        <f aca="false">ROUND(B19*(1-$C$6),0)</f>
        <v>79200</v>
      </c>
      <c r="E19" s="10" t="n">
        <f aca="false">B19-D19</f>
        <v>19800</v>
      </c>
      <c r="F19" s="10" t="n">
        <f aca="false">D19-C19</f>
        <v>52200</v>
      </c>
      <c r="G19" s="12" t="n">
        <f aca="false">F19/D19</f>
        <v>0.659090909090909</v>
      </c>
      <c r="H19" s="10" t="n">
        <f aca="false">ROUND(B19*(1-$C$7),0)</f>
        <v>89100</v>
      </c>
      <c r="I19" s="13" t="n">
        <f aca="false">H19-D19</f>
        <v>9900</v>
      </c>
      <c r="J19" s="16" t="s">
        <v>32</v>
      </c>
    </row>
    <row r="20" customFormat="false" ht="15" hidden="false" customHeight="false" outlineLevel="0" collapsed="false">
      <c r="A20" s="15" t="s">
        <v>33</v>
      </c>
      <c r="B20" s="10" t="n">
        <v>99000</v>
      </c>
      <c r="C20" s="10" t="n">
        <v>19000</v>
      </c>
      <c r="D20" s="11" t="n">
        <f aca="false">ROUND(B20*(1-$C$6),0)</f>
        <v>79200</v>
      </c>
      <c r="E20" s="10" t="n">
        <f aca="false">B20-D20</f>
        <v>19800</v>
      </c>
      <c r="F20" s="10" t="n">
        <f aca="false">D20-C20</f>
        <v>60200</v>
      </c>
      <c r="G20" s="12" t="n">
        <f aca="false">F20/D20</f>
        <v>0.76010101010101</v>
      </c>
      <c r="H20" s="10" t="n">
        <f aca="false">ROUND(B20*(1-$C$7),0)</f>
        <v>89100</v>
      </c>
      <c r="I20" s="13" t="n">
        <f aca="false">H20-D20</f>
        <v>9900</v>
      </c>
      <c r="J20" s="16" t="s">
        <v>34</v>
      </c>
    </row>
    <row r="22" customFormat="false" ht="15" hidden="false" customHeight="false" outlineLevel="0" collapsed="false">
      <c r="A22" s="17" t="s">
        <v>35</v>
      </c>
      <c r="B22" s="17"/>
      <c r="C22" s="17"/>
      <c r="D22" s="17"/>
      <c r="E22" s="17"/>
      <c r="F22" s="17"/>
      <c r="G22" s="17"/>
      <c r="H22" s="17"/>
      <c r="I22" s="17"/>
      <c r="J22" s="17"/>
    </row>
    <row r="23" customFormat="false" ht="14.15" hidden="false" customHeight="false" outlineLevel="0" collapsed="false">
      <c r="A23" s="18" t="s">
        <v>36</v>
      </c>
      <c r="B23" s="18"/>
      <c r="C23" s="18"/>
      <c r="D23" s="18"/>
      <c r="E23" s="18"/>
      <c r="F23" s="18"/>
      <c r="G23" s="18"/>
      <c r="H23" s="18"/>
      <c r="I23" s="18"/>
      <c r="J23" s="18"/>
    </row>
    <row r="24" customFormat="false" ht="14.15" hidden="false" customHeight="false" outlineLevel="0" collapsed="false">
      <c r="A24" s="18" t="s">
        <v>37</v>
      </c>
      <c r="B24" s="18"/>
      <c r="C24" s="18"/>
      <c r="D24" s="18"/>
      <c r="E24" s="18"/>
      <c r="F24" s="18"/>
      <c r="G24" s="18"/>
      <c r="H24" s="18"/>
      <c r="I24" s="18"/>
      <c r="J24" s="18"/>
    </row>
    <row r="25" customFormat="false" ht="14.15" hidden="false" customHeight="false" outlineLevel="0" collapsed="false">
      <c r="A25" s="18" t="s">
        <v>38</v>
      </c>
      <c r="B25" s="18"/>
      <c r="C25" s="18"/>
      <c r="D25" s="18"/>
      <c r="E25" s="18"/>
      <c r="F25" s="18"/>
      <c r="G25" s="18"/>
      <c r="H25" s="18"/>
      <c r="I25" s="18"/>
      <c r="J25" s="18"/>
    </row>
    <row r="26" customFormat="false" ht="14.15" hidden="false" customHeight="false" outlineLevel="0" collapsed="false">
      <c r="A26" s="19" t="s">
        <v>39</v>
      </c>
      <c r="B26" s="19"/>
      <c r="C26" s="19"/>
      <c r="D26" s="19"/>
      <c r="E26" s="19"/>
      <c r="F26" s="19"/>
      <c r="G26" s="19"/>
      <c r="H26" s="19"/>
      <c r="I26" s="19"/>
      <c r="J26" s="19"/>
    </row>
    <row r="27" customFormat="false" ht="14.15" hidden="false" customHeight="false" outlineLevel="0" collapsed="false">
      <c r="A27" s="20" t="s">
        <v>40</v>
      </c>
      <c r="B27" s="20"/>
      <c r="C27" s="20"/>
      <c r="D27" s="20"/>
      <c r="E27" s="20"/>
      <c r="F27" s="20"/>
      <c r="G27" s="20"/>
      <c r="H27" s="20"/>
      <c r="I27" s="20"/>
      <c r="J27" s="20"/>
    </row>
    <row r="29" customFormat="false" ht="15" hidden="false" customHeight="false" outlineLevel="0" collapsed="false">
      <c r="A29" s="17" t="s">
        <v>41</v>
      </c>
      <c r="B29" s="17"/>
      <c r="C29" s="17"/>
      <c r="D29" s="17"/>
      <c r="E29" s="17"/>
      <c r="F29" s="17"/>
      <c r="G29" s="17"/>
      <c r="H29" s="17"/>
      <c r="I29" s="17"/>
      <c r="J29" s="17"/>
    </row>
    <row r="30" customFormat="false" ht="14.15" hidden="false" customHeight="false" outlineLevel="0" collapsed="false">
      <c r="A30" s="20" t="s">
        <v>42</v>
      </c>
      <c r="B30" s="20"/>
      <c r="C30" s="20"/>
      <c r="D30" s="20"/>
      <c r="E30" s="20"/>
      <c r="F30" s="20"/>
      <c r="G30" s="20"/>
      <c r="H30" s="20"/>
      <c r="I30" s="20"/>
      <c r="J30" s="20"/>
    </row>
    <row r="31" customFormat="false" ht="15" hidden="false" customHeight="false" outlineLevel="0" collapsed="false">
      <c r="A31" s="20" t="s">
        <v>43</v>
      </c>
      <c r="B31" s="20"/>
      <c r="C31" s="20"/>
      <c r="D31" s="20"/>
      <c r="E31" s="20"/>
      <c r="F31" s="20"/>
      <c r="G31" s="20"/>
      <c r="H31" s="20"/>
      <c r="I31" s="20"/>
      <c r="J31" s="20"/>
    </row>
  </sheetData>
  <mergeCells count="15">
    <mergeCell ref="A1:J1"/>
    <mergeCell ref="A2:J2"/>
    <mergeCell ref="A3:J3"/>
    <mergeCell ref="A5:J5"/>
    <mergeCell ref="A10:J10"/>
    <mergeCell ref="A15:J15"/>
    <mergeCell ref="A22:J22"/>
    <mergeCell ref="A23:J23"/>
    <mergeCell ref="A24:J24"/>
    <mergeCell ref="A25:J25"/>
    <mergeCell ref="A26:J26"/>
    <mergeCell ref="A27:J27"/>
    <mergeCell ref="A29:J29"/>
    <mergeCell ref="A30:J30"/>
    <mergeCell ref="A31:J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13"/>
    <col collapsed="false" customWidth="true" hidden="false" outlineLevel="0" max="5" min="4" style="0" width="11"/>
    <col collapsed="false" customWidth="true" hidden="false" outlineLevel="0" max="6" min="6" style="0" width="12"/>
    <col collapsed="false" customWidth="true" hidden="false" outlineLevel="0" max="7" min="7" style="0" width="15"/>
    <col collapsed="false" customWidth="true" hidden="false" outlineLevel="0" max="8" min="8" style="0" width="14"/>
    <col collapsed="false" customWidth="true" hidden="false" outlineLevel="0" max="11" min="9" style="0" width="13"/>
    <col collapsed="false" customWidth="true" hidden="false" outlineLevel="0" max="12" min="12" style="0" width="11"/>
    <col collapsed="false" customWidth="true" hidden="false" outlineLevel="0" max="13" min="13" style="0" width="17"/>
  </cols>
  <sheetData>
    <row r="1" customFormat="false" ht="19.7" hidden="false" customHeight="false" outlineLevel="0" collapsed="false">
      <c r="A1" s="1" t="s">
        <v>44</v>
      </c>
      <c r="B1" s="1"/>
      <c r="C1" s="1"/>
      <c r="D1" s="1"/>
      <c r="E1" s="1"/>
      <c r="F1" s="1"/>
      <c r="G1" s="1"/>
      <c r="H1" s="1"/>
      <c r="I1" s="1"/>
      <c r="J1" s="1"/>
      <c r="K1" s="1"/>
      <c r="L1" s="1"/>
      <c r="M1" s="1"/>
    </row>
    <row r="2" customFormat="false" ht="13.4" hidden="false" customHeight="false" outlineLevel="0" collapsed="false">
      <c r="A2" s="2" t="s">
        <v>45</v>
      </c>
      <c r="B2" s="2"/>
      <c r="C2" s="2"/>
      <c r="D2" s="2"/>
      <c r="E2" s="2"/>
      <c r="F2" s="2"/>
      <c r="G2" s="2"/>
      <c r="H2" s="2"/>
      <c r="I2" s="2"/>
      <c r="J2" s="2"/>
      <c r="K2" s="2"/>
      <c r="L2" s="2"/>
      <c r="M2" s="2"/>
    </row>
    <row r="3" customFormat="false" ht="13.4" hidden="false" customHeight="false" outlineLevel="0" collapsed="false">
      <c r="A3" s="2" t="s">
        <v>46</v>
      </c>
      <c r="B3" s="2"/>
      <c r="C3" s="2"/>
      <c r="D3" s="2"/>
      <c r="E3" s="2"/>
      <c r="F3" s="2"/>
      <c r="G3" s="2"/>
      <c r="H3" s="2"/>
      <c r="I3" s="2"/>
      <c r="J3" s="2"/>
      <c r="K3" s="2"/>
      <c r="L3" s="2"/>
      <c r="M3" s="2"/>
    </row>
    <row r="5" customFormat="false" ht="15" hidden="false" customHeight="false" outlineLevel="0" collapsed="false">
      <c r="A5" s="3" t="s">
        <v>47</v>
      </c>
      <c r="B5" s="3"/>
      <c r="C5" s="3"/>
      <c r="D5" s="3"/>
      <c r="E5" s="3"/>
      <c r="F5" s="3"/>
      <c r="G5" s="3"/>
      <c r="H5" s="3"/>
      <c r="I5" s="3"/>
      <c r="J5" s="3"/>
      <c r="K5" s="3"/>
      <c r="L5" s="3"/>
      <c r="M5" s="3"/>
    </row>
    <row r="6" customFormat="false" ht="15" hidden="false" customHeight="false" outlineLevel="0" collapsed="false">
      <c r="A6" s="4" t="s">
        <v>48</v>
      </c>
      <c r="E6" s="21" t="n">
        <v>44000</v>
      </c>
    </row>
    <row r="7" customFormat="false" ht="15" hidden="false" customHeight="false" outlineLevel="0" collapsed="false">
      <c r="A7" s="4" t="s">
        <v>49</v>
      </c>
      <c r="E7" s="5" t="n">
        <v>0.1</v>
      </c>
    </row>
    <row r="9" customFormat="false" ht="31.5" hidden="false" customHeight="true" outlineLevel="0" collapsed="false">
      <c r="A9" s="8" t="s">
        <v>8</v>
      </c>
      <c r="B9" s="8" t="s">
        <v>50</v>
      </c>
      <c r="C9" s="8" t="s">
        <v>51</v>
      </c>
      <c r="D9" s="8" t="s">
        <v>52</v>
      </c>
      <c r="E9" s="8" t="s">
        <v>53</v>
      </c>
      <c r="F9" s="8" t="s">
        <v>54</v>
      </c>
      <c r="G9" s="8" t="s">
        <v>55</v>
      </c>
      <c r="H9" s="8" t="s">
        <v>56</v>
      </c>
      <c r="I9" s="8" t="s">
        <v>57</v>
      </c>
      <c r="J9" s="8" t="s">
        <v>58</v>
      </c>
      <c r="K9" s="8" t="s">
        <v>13</v>
      </c>
      <c r="L9" s="8" t="s">
        <v>14</v>
      </c>
      <c r="M9" s="8" t="s">
        <v>59</v>
      </c>
    </row>
    <row r="10" customFormat="false" ht="14.9" hidden="false" customHeight="false" outlineLevel="0" collapsed="false">
      <c r="A10" s="9" t="s">
        <v>60</v>
      </c>
      <c r="B10" s="9"/>
      <c r="C10" s="9"/>
      <c r="D10" s="9"/>
      <c r="E10" s="9"/>
      <c r="F10" s="9"/>
      <c r="G10" s="9"/>
      <c r="H10" s="9"/>
      <c r="I10" s="9"/>
      <c r="J10" s="9"/>
      <c r="K10" s="9"/>
      <c r="L10" s="9"/>
      <c r="M10" s="9"/>
    </row>
    <row r="11" customFormat="false" ht="15" hidden="false" customHeight="false" outlineLevel="0" collapsed="false">
      <c r="A11" s="4" t="s">
        <v>61</v>
      </c>
      <c r="B11" s="10" t="n">
        <v>880000</v>
      </c>
      <c r="C11" s="10" t="n">
        <v>232440</v>
      </c>
      <c r="D11" s="10" t="n">
        <v>3400</v>
      </c>
      <c r="E11" s="10" t="n">
        <v>10800</v>
      </c>
      <c r="F11" s="10" t="n">
        <f aca="false">C11+D11+E11</f>
        <v>246640</v>
      </c>
      <c r="G11" s="10" t="n">
        <f aca="false">B11+$E$6</f>
        <v>924000</v>
      </c>
      <c r="H11" s="11" t="n">
        <f aca="false">B11</f>
        <v>880000</v>
      </c>
      <c r="I11" s="13" t="n">
        <f aca="false">G11-H11</f>
        <v>44000</v>
      </c>
      <c r="J11" s="22" t="n">
        <f aca="false">I11/G11</f>
        <v>0.0476190476190476</v>
      </c>
      <c r="K11" s="10" t="n">
        <f aca="false">H11-F11</f>
        <v>633360</v>
      </c>
      <c r="L11" s="12" t="n">
        <f aca="false">K11/H11</f>
        <v>0.719727272727273</v>
      </c>
      <c r="M11" s="10" t="n">
        <f aca="false">ROUND(B11*$E$7,0)</f>
        <v>88000</v>
      </c>
    </row>
    <row r="12" customFormat="false" ht="15" hidden="false" customHeight="false" outlineLevel="0" collapsed="false">
      <c r="A12" s="4" t="s">
        <v>62</v>
      </c>
      <c r="B12" s="10" t="n">
        <v>880000</v>
      </c>
      <c r="C12" s="10" t="n">
        <v>195000</v>
      </c>
      <c r="D12" s="10" t="n">
        <v>3400</v>
      </c>
      <c r="E12" s="10" t="n">
        <v>10800</v>
      </c>
      <c r="F12" s="10" t="n">
        <f aca="false">C12+D12+E12</f>
        <v>209200</v>
      </c>
      <c r="G12" s="10" t="n">
        <f aca="false">B12+$E$6</f>
        <v>924000</v>
      </c>
      <c r="H12" s="11" t="n">
        <f aca="false">B12</f>
        <v>880000</v>
      </c>
      <c r="I12" s="13" t="n">
        <f aca="false">G12-H12</f>
        <v>44000</v>
      </c>
      <c r="J12" s="22" t="n">
        <f aca="false">I12/G12</f>
        <v>0.0476190476190476</v>
      </c>
      <c r="K12" s="10" t="n">
        <f aca="false">H12-F12</f>
        <v>670800</v>
      </c>
      <c r="L12" s="12" t="n">
        <f aca="false">K12/H12</f>
        <v>0.762272727272727</v>
      </c>
      <c r="M12" s="10" t="n">
        <f aca="false">ROUND(B12*$E$7,0)</f>
        <v>88000</v>
      </c>
    </row>
    <row r="13" customFormat="false" ht="15" hidden="false" customHeight="false" outlineLevel="0" collapsed="false">
      <c r="A13" s="4" t="s">
        <v>63</v>
      </c>
      <c r="B13" s="10" t="n">
        <v>547800</v>
      </c>
      <c r="C13" s="10" t="n">
        <v>156000</v>
      </c>
      <c r="D13" s="10" t="n">
        <v>3400</v>
      </c>
      <c r="E13" s="10" t="n">
        <v>10800</v>
      </c>
      <c r="F13" s="10" t="n">
        <f aca="false">C13+D13+E13</f>
        <v>170200</v>
      </c>
      <c r="G13" s="10" t="n">
        <f aca="false">B13+$E$6</f>
        <v>591800</v>
      </c>
      <c r="H13" s="11" t="n">
        <f aca="false">B13</f>
        <v>547800</v>
      </c>
      <c r="I13" s="13" t="n">
        <f aca="false">G13-H13</f>
        <v>44000</v>
      </c>
      <c r="J13" s="22" t="n">
        <f aca="false">I13/G13</f>
        <v>0.0743494423791822</v>
      </c>
      <c r="K13" s="10" t="n">
        <f aca="false">H13-F13</f>
        <v>377600</v>
      </c>
      <c r="L13" s="12" t="n">
        <f aca="false">K13/H13</f>
        <v>0.68930266520628</v>
      </c>
      <c r="M13" s="10" t="n">
        <f aca="false">ROUND(B13*$E$7,0)</f>
        <v>54780</v>
      </c>
    </row>
    <row r="14" customFormat="false" ht="15" hidden="false" customHeight="false" outlineLevel="0" collapsed="false">
      <c r="A14" s="4" t="s">
        <v>64</v>
      </c>
      <c r="B14" s="10" t="n">
        <v>497800</v>
      </c>
      <c r="C14" s="10" t="n">
        <v>117000</v>
      </c>
      <c r="D14" s="10" t="n">
        <v>3400</v>
      </c>
      <c r="E14" s="10" t="n">
        <v>8000</v>
      </c>
      <c r="F14" s="10" t="n">
        <f aca="false">C14+D14+E14</f>
        <v>128400</v>
      </c>
      <c r="G14" s="10" t="n">
        <f aca="false">B14+$E$6</f>
        <v>541800</v>
      </c>
      <c r="H14" s="11" t="n">
        <f aca="false">B14</f>
        <v>497800</v>
      </c>
      <c r="I14" s="13" t="n">
        <f aca="false">G14-H14</f>
        <v>44000</v>
      </c>
      <c r="J14" s="22" t="n">
        <f aca="false">I14/G14</f>
        <v>0.0812107788851975</v>
      </c>
      <c r="K14" s="10" t="n">
        <f aca="false">H14-F14</f>
        <v>369400</v>
      </c>
      <c r="L14" s="12" t="n">
        <f aca="false">K14/H14</f>
        <v>0.742065086380072</v>
      </c>
      <c r="M14" s="10" t="n">
        <f aca="false">ROUND(B14*$E$7,0)</f>
        <v>49780</v>
      </c>
    </row>
    <row r="15" customFormat="false" ht="15" hidden="false" customHeight="false" outlineLevel="0" collapsed="false">
      <c r="A15" s="4" t="s">
        <v>65</v>
      </c>
      <c r="B15" s="10" t="n">
        <v>437800</v>
      </c>
      <c r="C15" s="10" t="n">
        <v>129480</v>
      </c>
      <c r="D15" s="10" t="n">
        <v>3400</v>
      </c>
      <c r="E15" s="10" t="n">
        <v>10800</v>
      </c>
      <c r="F15" s="10" t="n">
        <f aca="false">C15+D15+E15</f>
        <v>143680</v>
      </c>
      <c r="G15" s="10" t="n">
        <f aca="false">B15+$E$6</f>
        <v>481800</v>
      </c>
      <c r="H15" s="11" t="n">
        <f aca="false">B15</f>
        <v>437800</v>
      </c>
      <c r="I15" s="13" t="n">
        <f aca="false">G15-H15</f>
        <v>44000</v>
      </c>
      <c r="J15" s="22" t="n">
        <f aca="false">I15/G15</f>
        <v>0.091324200913242</v>
      </c>
      <c r="K15" s="10" t="n">
        <f aca="false">H15-F15</f>
        <v>294120</v>
      </c>
      <c r="L15" s="12" t="n">
        <f aca="false">K15/H15</f>
        <v>0.671813613522156</v>
      </c>
      <c r="M15" s="10" t="n">
        <f aca="false">ROUND(B15*$E$7,0)</f>
        <v>43780</v>
      </c>
    </row>
    <row r="16" customFormat="false" ht="15" hidden="false" customHeight="false" outlineLevel="0" collapsed="false">
      <c r="A16" s="4" t="s">
        <v>66</v>
      </c>
      <c r="B16" s="10" t="n">
        <v>393800</v>
      </c>
      <c r="C16" s="10" t="n">
        <v>96720</v>
      </c>
      <c r="D16" s="10" t="n">
        <v>3400</v>
      </c>
      <c r="E16" s="10" t="n">
        <v>8000</v>
      </c>
      <c r="F16" s="10" t="n">
        <f aca="false">C16+D16+E16</f>
        <v>108120</v>
      </c>
      <c r="G16" s="10" t="n">
        <f aca="false">B16+$E$6</f>
        <v>437800</v>
      </c>
      <c r="H16" s="11" t="n">
        <f aca="false">B16</f>
        <v>393800</v>
      </c>
      <c r="I16" s="13" t="n">
        <f aca="false">G16-H16</f>
        <v>44000</v>
      </c>
      <c r="J16" s="22" t="n">
        <f aca="false">I16/G16</f>
        <v>0.100502512562814</v>
      </c>
      <c r="K16" s="10" t="n">
        <f aca="false">H16-F16</f>
        <v>285680</v>
      </c>
      <c r="L16" s="12" t="n">
        <f aca="false">K16/H16</f>
        <v>0.72544438801422</v>
      </c>
      <c r="M16" s="10" t="n">
        <f aca="false">ROUND(B16*$E$7,0)</f>
        <v>39380</v>
      </c>
    </row>
    <row r="17" customFormat="false" ht="15" hidden="false" customHeight="false" outlineLevel="0" collapsed="false">
      <c r="A17" s="4" t="s">
        <v>67</v>
      </c>
      <c r="B17" s="10" t="n">
        <v>327800</v>
      </c>
      <c r="C17" s="10" t="n">
        <v>100000</v>
      </c>
      <c r="D17" s="10" t="n">
        <v>3400</v>
      </c>
      <c r="E17" s="10" t="n">
        <v>10800</v>
      </c>
      <c r="F17" s="10" t="n">
        <f aca="false">C17+D17+E17</f>
        <v>114200</v>
      </c>
      <c r="G17" s="10" t="n">
        <f aca="false">B17+$E$6</f>
        <v>371800</v>
      </c>
      <c r="H17" s="11" t="n">
        <f aca="false">B17</f>
        <v>327800</v>
      </c>
      <c r="I17" s="13" t="n">
        <f aca="false">G17-H17</f>
        <v>44000</v>
      </c>
      <c r="J17" s="22" t="n">
        <f aca="false">I17/G17</f>
        <v>0.118343195266272</v>
      </c>
      <c r="K17" s="10" t="n">
        <f aca="false">H17-F17</f>
        <v>213600</v>
      </c>
      <c r="L17" s="12" t="n">
        <f aca="false">K17/H17</f>
        <v>0.651616839536303</v>
      </c>
      <c r="M17" s="10" t="n">
        <f aca="false">ROUND(B17*$E$7,0)</f>
        <v>32780</v>
      </c>
    </row>
    <row r="18" customFormat="false" ht="15" hidden="false" customHeight="false" outlineLevel="0" collapsed="false">
      <c r="A18" s="4" t="s">
        <v>68</v>
      </c>
      <c r="B18" s="10" t="n">
        <v>298000</v>
      </c>
      <c r="C18" s="10" t="n">
        <v>78000</v>
      </c>
      <c r="D18" s="10" t="n">
        <v>3400</v>
      </c>
      <c r="E18" s="10" t="n">
        <v>8000</v>
      </c>
      <c r="F18" s="10" t="n">
        <f aca="false">C18+D18+E18</f>
        <v>89400</v>
      </c>
      <c r="G18" s="10" t="n">
        <f aca="false">B18+$E$6</f>
        <v>342000</v>
      </c>
      <c r="H18" s="11" t="n">
        <f aca="false">B18</f>
        <v>298000</v>
      </c>
      <c r="I18" s="13" t="n">
        <f aca="false">G18-H18</f>
        <v>44000</v>
      </c>
      <c r="J18" s="22" t="n">
        <f aca="false">I18/G18</f>
        <v>0.128654970760234</v>
      </c>
      <c r="K18" s="10" t="n">
        <f aca="false">H18-F18</f>
        <v>208600</v>
      </c>
      <c r="L18" s="12" t="n">
        <f aca="false">K18/H18</f>
        <v>0.7</v>
      </c>
      <c r="M18" s="10" t="n">
        <f aca="false">ROUND(B18*$E$7,0)</f>
        <v>29800</v>
      </c>
    </row>
    <row r="19" customFormat="false" ht="15" hidden="false" customHeight="false" outlineLevel="0" collapsed="false">
      <c r="A19" s="9" t="s">
        <v>69</v>
      </c>
      <c r="B19" s="9"/>
      <c r="C19" s="9"/>
      <c r="D19" s="9"/>
      <c r="E19" s="9"/>
      <c r="F19" s="9"/>
      <c r="G19" s="9"/>
      <c r="H19" s="9"/>
      <c r="I19" s="9"/>
      <c r="J19" s="9"/>
      <c r="K19" s="9"/>
      <c r="L19" s="9"/>
      <c r="M19" s="9"/>
    </row>
    <row r="20" customFormat="false" ht="15" hidden="false" customHeight="false" outlineLevel="0" collapsed="false">
      <c r="A20" s="4" t="s">
        <v>70</v>
      </c>
      <c r="B20" s="10" t="n">
        <v>550000</v>
      </c>
      <c r="C20" s="10" t="n">
        <v>137280</v>
      </c>
      <c r="D20" s="10" t="n">
        <v>3400</v>
      </c>
      <c r="E20" s="10" t="n">
        <v>10800</v>
      </c>
      <c r="F20" s="10" t="n">
        <f aca="false">C20+D20+E20</f>
        <v>151480</v>
      </c>
      <c r="G20" s="10" t="n">
        <f aca="false">B20+$E$6</f>
        <v>594000</v>
      </c>
      <c r="H20" s="11" t="n">
        <f aca="false">B20</f>
        <v>550000</v>
      </c>
      <c r="I20" s="13" t="n">
        <f aca="false">G20-H20</f>
        <v>44000</v>
      </c>
      <c r="J20" s="22" t="n">
        <f aca="false">I20/G20</f>
        <v>0.0740740740740741</v>
      </c>
      <c r="K20" s="10" t="n">
        <f aca="false">H20-F20</f>
        <v>398520</v>
      </c>
      <c r="L20" s="12" t="n">
        <f aca="false">K20/H20</f>
        <v>0.724581818181818</v>
      </c>
      <c r="M20" s="10" t="n">
        <f aca="false">ROUND(B20*$E$7,0)</f>
        <v>55000</v>
      </c>
    </row>
    <row r="21" customFormat="false" ht="15" hidden="false" customHeight="false" outlineLevel="0" collapsed="false">
      <c r="A21" s="4" t="s">
        <v>71</v>
      </c>
      <c r="B21" s="10" t="n">
        <v>550000</v>
      </c>
      <c r="C21" s="10" t="n">
        <v>148200</v>
      </c>
      <c r="D21" s="10" t="n">
        <v>3400</v>
      </c>
      <c r="E21" s="10" t="n">
        <v>10800</v>
      </c>
      <c r="F21" s="10" t="n">
        <f aca="false">C21+D21+E21</f>
        <v>162400</v>
      </c>
      <c r="G21" s="10" t="n">
        <f aca="false">B21+$E$6</f>
        <v>594000</v>
      </c>
      <c r="H21" s="11" t="n">
        <f aca="false">B21</f>
        <v>550000</v>
      </c>
      <c r="I21" s="13" t="n">
        <f aca="false">G21-H21</f>
        <v>44000</v>
      </c>
      <c r="J21" s="22" t="n">
        <f aca="false">I21/G21</f>
        <v>0.0740740740740741</v>
      </c>
      <c r="K21" s="10" t="n">
        <f aca="false">H21-F21</f>
        <v>387600</v>
      </c>
      <c r="L21" s="12" t="n">
        <f aca="false">K21/H21</f>
        <v>0.704727272727273</v>
      </c>
      <c r="M21" s="10" t="n">
        <f aca="false">ROUND(B21*$E$7,0)</f>
        <v>55000</v>
      </c>
    </row>
    <row r="22" customFormat="false" ht="15" hidden="false" customHeight="false" outlineLevel="0" collapsed="false">
      <c r="A22" s="4" t="s">
        <v>72</v>
      </c>
      <c r="B22" s="10" t="n">
        <v>550000</v>
      </c>
      <c r="C22" s="10" t="n">
        <v>175500</v>
      </c>
      <c r="D22" s="10" t="n">
        <v>3400</v>
      </c>
      <c r="E22" s="10" t="n">
        <v>10800</v>
      </c>
      <c r="F22" s="10" t="n">
        <f aca="false">C22+D22+E22</f>
        <v>189700</v>
      </c>
      <c r="G22" s="10" t="n">
        <f aca="false">B22+$E$6</f>
        <v>594000</v>
      </c>
      <c r="H22" s="11" t="n">
        <f aca="false">B22</f>
        <v>550000</v>
      </c>
      <c r="I22" s="13" t="n">
        <f aca="false">G22-H22</f>
        <v>44000</v>
      </c>
      <c r="J22" s="22" t="n">
        <f aca="false">I22/G22</f>
        <v>0.0740740740740741</v>
      </c>
      <c r="K22" s="10" t="n">
        <f aca="false">H22-F22</f>
        <v>360300</v>
      </c>
      <c r="L22" s="12" t="n">
        <f aca="false">K22/H22</f>
        <v>0.655090909090909</v>
      </c>
      <c r="M22" s="10" t="n">
        <f aca="false">ROUND(B22*$E$7,0)</f>
        <v>55000</v>
      </c>
    </row>
    <row r="23" customFormat="false" ht="15" hidden="false" customHeight="false" outlineLevel="0" collapsed="false">
      <c r="A23" s="9" t="s">
        <v>73</v>
      </c>
      <c r="B23" s="9"/>
      <c r="C23" s="9"/>
      <c r="D23" s="9"/>
      <c r="E23" s="9"/>
      <c r="F23" s="9"/>
      <c r="G23" s="9"/>
      <c r="H23" s="9"/>
      <c r="I23" s="9"/>
      <c r="J23" s="9"/>
      <c r="K23" s="9"/>
      <c r="L23" s="9"/>
      <c r="M23" s="9"/>
    </row>
    <row r="24" customFormat="false" ht="15" hidden="false" customHeight="false" outlineLevel="0" collapsed="false">
      <c r="A24" s="4" t="s">
        <v>74</v>
      </c>
      <c r="B24" s="10" t="n">
        <v>440000</v>
      </c>
      <c r="C24" s="10" t="n">
        <v>144300</v>
      </c>
      <c r="D24" s="10" t="n">
        <v>3400</v>
      </c>
      <c r="E24" s="10" t="n">
        <v>10800</v>
      </c>
      <c r="F24" s="10" t="n">
        <f aca="false">C24+D24+E24</f>
        <v>158500</v>
      </c>
      <c r="G24" s="10" t="n">
        <f aca="false">B24+$E$6</f>
        <v>484000</v>
      </c>
      <c r="H24" s="11" t="n">
        <f aca="false">B24</f>
        <v>440000</v>
      </c>
      <c r="I24" s="13" t="n">
        <f aca="false">G24-H24</f>
        <v>44000</v>
      </c>
      <c r="J24" s="22" t="n">
        <f aca="false">I24/G24</f>
        <v>0.0909090909090909</v>
      </c>
      <c r="K24" s="10" t="n">
        <f aca="false">H24-F24</f>
        <v>281500</v>
      </c>
      <c r="L24" s="12" t="n">
        <f aca="false">K24/H24</f>
        <v>0.639772727272727</v>
      </c>
      <c r="M24" s="10" t="n">
        <f aca="false">ROUND(B24*$E$7,0)</f>
        <v>44000</v>
      </c>
    </row>
    <row r="26" customFormat="false" ht="14.9" hidden="false" customHeight="false" outlineLevel="0" collapsed="false">
      <c r="A26" s="17" t="s">
        <v>75</v>
      </c>
      <c r="B26" s="17"/>
      <c r="C26" s="17"/>
      <c r="D26" s="17"/>
      <c r="E26" s="17"/>
      <c r="F26" s="17"/>
      <c r="G26" s="17"/>
      <c r="H26" s="17"/>
      <c r="I26" s="17"/>
      <c r="J26" s="17"/>
      <c r="K26" s="17"/>
      <c r="L26" s="17"/>
      <c r="M26" s="17"/>
    </row>
    <row r="27" customFormat="false" ht="14.15" hidden="false" customHeight="false" outlineLevel="0" collapsed="false">
      <c r="A27" s="20" t="s">
        <v>76</v>
      </c>
      <c r="B27" s="20"/>
      <c r="C27" s="20"/>
      <c r="D27" s="20"/>
      <c r="E27" s="20"/>
      <c r="F27" s="20"/>
      <c r="G27" s="20"/>
      <c r="H27" s="20"/>
      <c r="I27" s="20"/>
      <c r="J27" s="20"/>
      <c r="K27" s="20"/>
      <c r="L27" s="20"/>
      <c r="M27" s="20"/>
    </row>
    <row r="28" customFormat="false" ht="14.15" hidden="false" customHeight="false" outlineLevel="0" collapsed="false">
      <c r="A28" s="20" t="s">
        <v>77</v>
      </c>
      <c r="B28" s="20"/>
      <c r="C28" s="20"/>
      <c r="D28" s="20"/>
      <c r="E28" s="20"/>
      <c r="F28" s="20"/>
      <c r="G28" s="20"/>
      <c r="H28" s="20"/>
      <c r="I28" s="20"/>
      <c r="J28" s="20"/>
      <c r="K28" s="20"/>
      <c r="L28" s="20"/>
      <c r="M28" s="20"/>
    </row>
    <row r="29" customFormat="false" ht="14.15" hidden="false" customHeight="false" outlineLevel="0" collapsed="false">
      <c r="A29" s="18" t="s">
        <v>78</v>
      </c>
      <c r="B29" s="18"/>
      <c r="C29" s="18"/>
      <c r="D29" s="18"/>
      <c r="E29" s="18"/>
      <c r="F29" s="18"/>
      <c r="G29" s="18"/>
      <c r="H29" s="18"/>
      <c r="I29" s="18"/>
      <c r="J29" s="18"/>
      <c r="K29" s="18"/>
      <c r="L29" s="18"/>
      <c r="M29" s="18"/>
    </row>
    <row r="30" customFormat="false" ht="14.15" hidden="false" customHeight="false" outlineLevel="0" collapsed="false">
      <c r="A30" s="19" t="s">
        <v>79</v>
      </c>
      <c r="B30" s="19"/>
      <c r="C30" s="19"/>
      <c r="D30" s="19"/>
      <c r="E30" s="19"/>
      <c r="F30" s="19"/>
      <c r="G30" s="19"/>
      <c r="H30" s="19"/>
      <c r="I30" s="19"/>
      <c r="J30" s="19"/>
      <c r="K30" s="19"/>
      <c r="L30" s="19"/>
      <c r="M30" s="19"/>
    </row>
    <row r="31" customFormat="false" ht="14.15" hidden="false" customHeight="false" outlineLevel="0" collapsed="false">
      <c r="A31" s="19" t="s">
        <v>80</v>
      </c>
      <c r="B31" s="19"/>
      <c r="C31" s="19"/>
      <c r="D31" s="19"/>
      <c r="E31" s="19"/>
      <c r="F31" s="19"/>
      <c r="G31" s="19"/>
      <c r="H31" s="19"/>
      <c r="I31" s="19"/>
      <c r="J31" s="19"/>
      <c r="K31" s="19"/>
      <c r="L31" s="19"/>
      <c r="M31" s="19"/>
    </row>
    <row r="33" customFormat="false" ht="15" hidden="false" customHeight="false" outlineLevel="0" collapsed="false">
      <c r="A33" s="17" t="s">
        <v>81</v>
      </c>
      <c r="B33" s="17"/>
      <c r="C33" s="17"/>
      <c r="D33" s="17"/>
      <c r="E33" s="17"/>
      <c r="F33" s="17"/>
      <c r="G33" s="17"/>
      <c r="H33" s="17"/>
      <c r="I33" s="17"/>
      <c r="J33" s="17"/>
      <c r="K33" s="17"/>
      <c r="L33" s="17"/>
      <c r="M33" s="17"/>
    </row>
    <row r="34" customFormat="false" ht="14.15" hidden="false" customHeight="false" outlineLevel="0" collapsed="false">
      <c r="A34" s="23" t="s">
        <v>82</v>
      </c>
      <c r="B34" s="23"/>
      <c r="C34" s="23"/>
      <c r="D34" s="23"/>
      <c r="E34" s="23"/>
      <c r="F34" s="23"/>
      <c r="G34" s="23"/>
      <c r="H34" s="23"/>
      <c r="I34" s="23"/>
      <c r="J34" s="23"/>
      <c r="K34" s="23"/>
      <c r="L34" s="23"/>
      <c r="M34" s="23"/>
    </row>
    <row r="35" customFormat="false" ht="14.15" hidden="false" customHeight="false" outlineLevel="0" collapsed="false">
      <c r="A35" s="20" t="s">
        <v>83</v>
      </c>
      <c r="B35" s="20"/>
      <c r="C35" s="20"/>
      <c r="D35" s="20"/>
      <c r="E35" s="20"/>
      <c r="F35" s="20"/>
      <c r="G35" s="20"/>
      <c r="H35" s="20"/>
      <c r="I35" s="20"/>
      <c r="J35" s="20"/>
      <c r="K35" s="20"/>
      <c r="L35" s="20"/>
      <c r="M35" s="20"/>
    </row>
    <row r="36" customFormat="false" ht="14.15" hidden="false" customHeight="false" outlineLevel="0" collapsed="false">
      <c r="A36" s="20" t="s">
        <v>84</v>
      </c>
      <c r="B36" s="20"/>
      <c r="C36" s="20"/>
      <c r="D36" s="20"/>
      <c r="E36" s="20"/>
      <c r="F36" s="20"/>
      <c r="G36" s="20"/>
      <c r="H36" s="20"/>
      <c r="I36" s="20"/>
      <c r="J36" s="20"/>
      <c r="K36" s="20"/>
      <c r="L36" s="20"/>
      <c r="M36" s="20"/>
    </row>
    <row r="37" customFormat="false" ht="14.15" hidden="false" customHeight="false" outlineLevel="0" collapsed="false">
      <c r="A37" s="20" t="s">
        <v>85</v>
      </c>
      <c r="B37" s="20"/>
      <c r="C37" s="20"/>
      <c r="D37" s="20"/>
      <c r="E37" s="20"/>
      <c r="F37" s="20"/>
      <c r="G37" s="20"/>
      <c r="H37" s="20"/>
      <c r="I37" s="20"/>
      <c r="J37" s="20"/>
      <c r="K37" s="20"/>
      <c r="L37" s="20"/>
      <c r="M37" s="20"/>
    </row>
    <row r="38" customFormat="false" ht="14.15" hidden="false" customHeight="false" outlineLevel="0" collapsed="false">
      <c r="A38" s="18" t="s">
        <v>86</v>
      </c>
      <c r="B38" s="18"/>
      <c r="C38" s="18"/>
      <c r="D38" s="18"/>
      <c r="E38" s="18"/>
      <c r="F38" s="18"/>
      <c r="G38" s="18"/>
      <c r="H38" s="18"/>
      <c r="I38" s="18"/>
      <c r="J38" s="18"/>
      <c r="K38" s="18"/>
      <c r="L38" s="18"/>
      <c r="M38" s="18"/>
    </row>
    <row r="39" customFormat="false" ht="14.15" hidden="false" customHeight="false" outlineLevel="0" collapsed="false">
      <c r="A39" s="19" t="s">
        <v>87</v>
      </c>
      <c r="B39" s="19"/>
      <c r="C39" s="19"/>
      <c r="D39" s="19"/>
      <c r="E39" s="19"/>
      <c r="F39" s="19"/>
      <c r="G39" s="19"/>
      <c r="H39" s="19"/>
      <c r="I39" s="19"/>
      <c r="J39" s="19"/>
      <c r="K39" s="19"/>
      <c r="L39" s="19"/>
      <c r="M39" s="19"/>
    </row>
  </sheetData>
  <mergeCells count="20">
    <mergeCell ref="A1:M1"/>
    <mergeCell ref="A2:M2"/>
    <mergeCell ref="A3:M3"/>
    <mergeCell ref="A5:M5"/>
    <mergeCell ref="A10:M10"/>
    <mergeCell ref="A19:M19"/>
    <mergeCell ref="A23:M23"/>
    <mergeCell ref="A26:M26"/>
    <mergeCell ref="A27:M27"/>
    <mergeCell ref="A28:M28"/>
    <mergeCell ref="A29:M29"/>
    <mergeCell ref="A30:M30"/>
    <mergeCell ref="A31:M31"/>
    <mergeCell ref="A33:M33"/>
    <mergeCell ref="A34:M34"/>
    <mergeCell ref="A35:M35"/>
    <mergeCell ref="A36:M36"/>
    <mergeCell ref="A37:M37"/>
    <mergeCell ref="A38:M38"/>
    <mergeCell ref="A39:M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4" min="3" style="0" width="13"/>
    <col collapsed="false" customWidth="true" hidden="false" outlineLevel="0" max="5" min="5" style="0" width="11"/>
    <col collapsed="false" customWidth="true" hidden="false" outlineLevel="0" max="6" min="6" style="0" width="17"/>
    <col collapsed="false" customWidth="true" hidden="false" outlineLevel="0" max="8" min="7" style="0" width="14"/>
    <col collapsed="false" customWidth="true" hidden="false" outlineLevel="0" max="9" min="9" style="0" width="15"/>
    <col collapsed="false" customWidth="true" hidden="false" outlineLevel="0" max="10" min="10" style="0" width="17"/>
    <col collapsed="false" customWidth="true" hidden="false" outlineLevel="0" max="11" min="11" style="0" width="11"/>
  </cols>
  <sheetData>
    <row r="1" customFormat="false" ht="19.7" hidden="false" customHeight="false" outlineLevel="0" collapsed="false">
      <c r="A1" s="1" t="s">
        <v>88</v>
      </c>
      <c r="B1" s="1"/>
      <c r="C1" s="1"/>
      <c r="D1" s="1"/>
      <c r="E1" s="1"/>
      <c r="F1" s="1"/>
      <c r="G1" s="1"/>
      <c r="H1" s="1"/>
      <c r="I1" s="1"/>
      <c r="J1" s="1"/>
      <c r="K1" s="1"/>
    </row>
    <row r="2" customFormat="false" ht="13.4" hidden="false" customHeight="false" outlineLevel="0" collapsed="false">
      <c r="A2" s="24" t="s">
        <v>89</v>
      </c>
      <c r="B2" s="24"/>
      <c r="C2" s="24"/>
      <c r="D2" s="24"/>
      <c r="E2" s="24"/>
      <c r="F2" s="24"/>
      <c r="G2" s="24"/>
      <c r="H2" s="24"/>
      <c r="I2" s="24"/>
      <c r="J2" s="24"/>
      <c r="K2" s="24"/>
    </row>
    <row r="3" customFormat="false" ht="13.4" hidden="false" customHeight="false" outlineLevel="0" collapsed="false">
      <c r="A3" s="24" t="s">
        <v>90</v>
      </c>
      <c r="B3" s="24"/>
      <c r="C3" s="24"/>
      <c r="D3" s="24"/>
      <c r="E3" s="24"/>
      <c r="F3" s="24"/>
      <c r="G3" s="24"/>
      <c r="H3" s="24"/>
      <c r="I3" s="24"/>
      <c r="J3" s="24"/>
      <c r="K3" s="24"/>
    </row>
    <row r="5" customFormat="false" ht="15" hidden="false" customHeight="false" outlineLevel="0" collapsed="false">
      <c r="A5" s="3" t="s">
        <v>91</v>
      </c>
      <c r="B5" s="3"/>
      <c r="C5" s="3"/>
      <c r="D5" s="3"/>
      <c r="E5" s="3"/>
      <c r="F5" s="3"/>
      <c r="G5" s="3"/>
      <c r="H5" s="3"/>
      <c r="I5" s="3"/>
      <c r="J5" s="3"/>
      <c r="K5" s="3"/>
    </row>
    <row r="6" customFormat="false" ht="15" hidden="false" customHeight="false" outlineLevel="0" collapsed="false">
      <c r="A6" s="25" t="s">
        <v>92</v>
      </c>
      <c r="D6" s="26" t="n">
        <v>50000</v>
      </c>
      <c r="E6" s="27" t="s">
        <v>93</v>
      </c>
    </row>
    <row r="7" customFormat="false" ht="15" hidden="false" customHeight="false" outlineLevel="0" collapsed="false">
      <c r="A7" s="4" t="s">
        <v>94</v>
      </c>
      <c r="D7" s="28" t="n">
        <f aca="false">D6*12</f>
        <v>600000</v>
      </c>
      <c r="E7" s="29" t="s">
        <v>95</v>
      </c>
    </row>
    <row r="9" customFormat="false" ht="33.75" hidden="false" customHeight="true" outlineLevel="0" collapsed="false">
      <c r="A9" s="8" t="s">
        <v>96</v>
      </c>
      <c r="B9" s="8" t="s">
        <v>97</v>
      </c>
      <c r="C9" s="8" t="s">
        <v>98</v>
      </c>
      <c r="D9" s="8" t="s">
        <v>99</v>
      </c>
      <c r="E9" s="8" t="s">
        <v>100</v>
      </c>
      <c r="F9" s="8" t="s">
        <v>101</v>
      </c>
      <c r="G9" s="8" t="s">
        <v>102</v>
      </c>
      <c r="H9" s="8" t="s">
        <v>103</v>
      </c>
      <c r="I9" s="8" t="s">
        <v>104</v>
      </c>
      <c r="J9" s="8" t="s">
        <v>105</v>
      </c>
      <c r="K9" s="8" t="s">
        <v>14</v>
      </c>
    </row>
    <row r="10" customFormat="false" ht="14.9" hidden="false" customHeight="false" outlineLevel="0" collapsed="false">
      <c r="A10" s="9" t="s">
        <v>106</v>
      </c>
      <c r="B10" s="9"/>
      <c r="C10" s="9"/>
      <c r="D10" s="9"/>
      <c r="E10" s="9"/>
      <c r="F10" s="9"/>
      <c r="G10" s="9"/>
      <c r="H10" s="9"/>
      <c r="I10" s="9"/>
      <c r="J10" s="9"/>
      <c r="K10" s="9"/>
    </row>
    <row r="11" customFormat="false" ht="15" hidden="false" customHeight="false" outlineLevel="0" collapsed="false">
      <c r="A11" s="4" t="s">
        <v>107</v>
      </c>
      <c r="B11" s="10" t="n">
        <v>1</v>
      </c>
      <c r="C11" s="10" t="n">
        <f aca="false">松山紹介_補綴価格表!B11</f>
        <v>99000</v>
      </c>
      <c r="D11" s="10" t="n">
        <f aca="false">B11*C11</f>
        <v>99000</v>
      </c>
      <c r="E11" s="22" t="n">
        <f aca="false">IF(B11&lt;=5,0.1,IF(B11&lt;=9,0.15,0.2))</f>
        <v>0.1</v>
      </c>
      <c r="F11" s="10" t="n">
        <f aca="false">ROUND(C11*(1-E11),0)*B11</f>
        <v>89100</v>
      </c>
      <c r="G11" s="30" t="n">
        <f aca="false">松山紹介_補綴価格表!D11*B11</f>
        <v>79200</v>
      </c>
      <c r="H11" s="10" t="n">
        <f aca="false">D11-G11</f>
        <v>19800</v>
      </c>
      <c r="I11" s="31" t="n">
        <f aca="false">F11-G11</f>
        <v>9900</v>
      </c>
      <c r="J11" s="10" t="n">
        <f aca="false">松山紹介_補綴価格表!F11*B11</f>
        <v>69064</v>
      </c>
      <c r="K11" s="22" t="n">
        <f aca="false">J11/G11</f>
        <v>0.872020202020202</v>
      </c>
    </row>
    <row r="12" customFormat="false" ht="15" hidden="false" customHeight="false" outlineLevel="0" collapsed="false">
      <c r="A12" s="4" t="s">
        <v>108</v>
      </c>
      <c r="B12" s="10" t="n">
        <v>3</v>
      </c>
      <c r="C12" s="10" t="n">
        <f aca="false">松山紹介_補綴価格表!B11</f>
        <v>99000</v>
      </c>
      <c r="D12" s="10" t="n">
        <f aca="false">B12*C12</f>
        <v>297000</v>
      </c>
      <c r="E12" s="22" t="n">
        <f aca="false">IF(B12&lt;=5,0.1,IF(B12&lt;=9,0.15,0.2))</f>
        <v>0.1</v>
      </c>
      <c r="F12" s="10" t="n">
        <f aca="false">ROUND(C12*(1-E12),0)*B12</f>
        <v>267300</v>
      </c>
      <c r="G12" s="30" t="n">
        <f aca="false">松山紹介_補綴価格表!D11*B12</f>
        <v>237600</v>
      </c>
      <c r="H12" s="10" t="n">
        <f aca="false">D12-G12</f>
        <v>59400</v>
      </c>
      <c r="I12" s="31" t="n">
        <f aca="false">F12-G12</f>
        <v>29700</v>
      </c>
      <c r="J12" s="10" t="n">
        <f aca="false">松山紹介_補綴価格表!F11*B12</f>
        <v>207192</v>
      </c>
      <c r="K12" s="22" t="n">
        <f aca="false">J12/G12</f>
        <v>0.872020202020202</v>
      </c>
    </row>
    <row r="13" customFormat="false" ht="15" hidden="false" customHeight="false" outlineLevel="0" collapsed="false">
      <c r="A13" s="4" t="s">
        <v>109</v>
      </c>
      <c r="B13" s="10" t="n">
        <v>2</v>
      </c>
      <c r="C13" s="10" t="n">
        <f aca="false">松山紹介_補綴価格表!B13</f>
        <v>55000</v>
      </c>
      <c r="D13" s="10" t="n">
        <f aca="false">B13*C13</f>
        <v>110000</v>
      </c>
      <c r="E13" s="22" t="n">
        <f aca="false">IF(B13&lt;=5,0.1,IF(B13&lt;=9,0.15,0.2))</f>
        <v>0.1</v>
      </c>
      <c r="F13" s="10" t="n">
        <f aca="false">ROUND(C13*(1-E13),0)*B13</f>
        <v>99000</v>
      </c>
      <c r="G13" s="30" t="n">
        <f aca="false">松山紹介_補綴価格表!D13*B13</f>
        <v>88000</v>
      </c>
      <c r="H13" s="10" t="n">
        <f aca="false">D13-G13</f>
        <v>22000</v>
      </c>
      <c r="I13" s="31" t="n">
        <f aca="false">F13-G13</f>
        <v>11000</v>
      </c>
      <c r="J13" s="10" t="n">
        <f aca="false">松山紹介_補綴価格表!F13*B13</f>
        <v>67728</v>
      </c>
      <c r="K13" s="22" t="n">
        <f aca="false">J13/G13</f>
        <v>0.769636363636364</v>
      </c>
    </row>
    <row r="14" customFormat="false" ht="15" hidden="false" customHeight="false" outlineLevel="0" collapsed="false">
      <c r="A14" s="4" t="s">
        <v>110</v>
      </c>
      <c r="B14" s="10" t="n">
        <v>4</v>
      </c>
      <c r="C14" s="10" t="n">
        <f aca="false">松山紹介_補綴価格表!B16</f>
        <v>143000</v>
      </c>
      <c r="D14" s="10" t="n">
        <f aca="false">B14*C14</f>
        <v>572000</v>
      </c>
      <c r="E14" s="22" t="n">
        <f aca="false">IF(B14&lt;=5,0.1,IF(B14&lt;=9,0.15,0.2))</f>
        <v>0.1</v>
      </c>
      <c r="F14" s="10" t="n">
        <f aca="false">ROUND(C14*(1-E14),0)*B14</f>
        <v>514800</v>
      </c>
      <c r="G14" s="30" t="n">
        <f aca="false">松山紹介_補綴価格表!D16*B14</f>
        <v>457600</v>
      </c>
      <c r="H14" s="10" t="n">
        <f aca="false">D14-G14</f>
        <v>114400</v>
      </c>
      <c r="I14" s="31" t="n">
        <f aca="false">F14-G14</f>
        <v>57200</v>
      </c>
      <c r="J14" s="10" t="n">
        <f aca="false">松山紹介_補綴価格表!F16*B14</f>
        <v>349600</v>
      </c>
      <c r="K14" s="22" t="n">
        <f aca="false">J14/G14</f>
        <v>0.763986013986014</v>
      </c>
    </row>
    <row r="15" customFormat="false" ht="15" hidden="false" customHeight="false" outlineLevel="0" collapsed="false">
      <c r="A15" s="4" t="s">
        <v>111</v>
      </c>
      <c r="B15" s="10" t="n">
        <v>6</v>
      </c>
      <c r="C15" s="10" t="n">
        <f aca="false">松山紹介_補綴価格表!B16</f>
        <v>143000</v>
      </c>
      <c r="D15" s="10" t="n">
        <f aca="false">B15*C15</f>
        <v>858000</v>
      </c>
      <c r="E15" s="22" t="n">
        <f aca="false">IF(B15&lt;=5,0.1,IF(B15&lt;=9,0.15,0.2))</f>
        <v>0.15</v>
      </c>
      <c r="F15" s="10" t="n">
        <f aca="false">ROUND(C15*(1-E15),0)*B15</f>
        <v>729300</v>
      </c>
      <c r="G15" s="30" t="n">
        <f aca="false">松山紹介_補綴価格表!D16*B15</f>
        <v>686400</v>
      </c>
      <c r="H15" s="10" t="n">
        <f aca="false">D15-G15</f>
        <v>171600</v>
      </c>
      <c r="I15" s="31" t="n">
        <f aca="false">F15-G15</f>
        <v>42900</v>
      </c>
      <c r="J15" s="10" t="n">
        <f aca="false">松山紹介_補綴価格表!F16*B15</f>
        <v>524400</v>
      </c>
      <c r="K15" s="22" t="n">
        <f aca="false">J15/G15</f>
        <v>0.763986013986014</v>
      </c>
    </row>
    <row r="16" customFormat="false" ht="15" hidden="false" customHeight="false" outlineLevel="0" collapsed="false">
      <c r="A16" s="4" t="s">
        <v>112</v>
      </c>
      <c r="B16" s="10" t="n">
        <v>6</v>
      </c>
      <c r="C16" s="10" t="n">
        <f aca="false">松山紹介_補綴価格表!B19</f>
        <v>99000</v>
      </c>
      <c r="D16" s="10" t="n">
        <f aca="false">B16*C16</f>
        <v>594000</v>
      </c>
      <c r="E16" s="22" t="n">
        <f aca="false">IF(B16&lt;=5,0.1,IF(B16&lt;=9,0.15,0.2))</f>
        <v>0.15</v>
      </c>
      <c r="F16" s="10" t="n">
        <f aca="false">ROUND(C16*(1-E16),0)*B16</f>
        <v>504900</v>
      </c>
      <c r="G16" s="30" t="n">
        <f aca="false">松山紹介_補綴価格表!D19*B16</f>
        <v>475200</v>
      </c>
      <c r="H16" s="10" t="n">
        <f aca="false">D16-G16</f>
        <v>118800</v>
      </c>
      <c r="I16" s="31" t="n">
        <f aca="false">F16-G16</f>
        <v>29700</v>
      </c>
      <c r="J16" s="10" t="n">
        <f aca="false">松山紹介_補綴価格表!F19*B16</f>
        <v>313200</v>
      </c>
      <c r="K16" s="22" t="n">
        <f aca="false">J16/G16</f>
        <v>0.659090909090909</v>
      </c>
    </row>
    <row r="17" customFormat="false" ht="15" hidden="false" customHeight="false" outlineLevel="0" collapsed="false">
      <c r="A17" s="4" t="s">
        <v>113</v>
      </c>
      <c r="B17" s="10" t="n">
        <v>6</v>
      </c>
      <c r="C17" s="10" t="n">
        <f aca="false">松山紹介_補綴価格表!B18</f>
        <v>110000</v>
      </c>
      <c r="D17" s="10" t="n">
        <f aca="false">B17*C17</f>
        <v>660000</v>
      </c>
      <c r="E17" s="22" t="n">
        <f aca="false">IF(B17&lt;=5,0.1,IF(B17&lt;=9,0.15,0.2))</f>
        <v>0.15</v>
      </c>
      <c r="F17" s="10" t="n">
        <f aca="false">ROUND(C17*(1-E17),0)*B17</f>
        <v>561000</v>
      </c>
      <c r="G17" s="30" t="n">
        <f aca="false">松山紹介_補綴価格表!D18*B17</f>
        <v>528000</v>
      </c>
      <c r="H17" s="10" t="n">
        <f aca="false">D17-G17</f>
        <v>132000</v>
      </c>
      <c r="I17" s="31" t="n">
        <f aca="false">F17-G17</f>
        <v>33000</v>
      </c>
      <c r="J17" s="10" t="n">
        <f aca="false">松山紹介_補綴価格表!F18*B17</f>
        <v>432000</v>
      </c>
      <c r="K17" s="22" t="n">
        <f aca="false">J17/G17</f>
        <v>0.818181818181818</v>
      </c>
    </row>
    <row r="18" customFormat="false" ht="15" hidden="false" customHeight="false" outlineLevel="0" collapsed="false">
      <c r="A18" s="4" t="s">
        <v>114</v>
      </c>
      <c r="B18" s="10" t="n">
        <v>12</v>
      </c>
      <c r="C18" s="10" t="n">
        <f aca="false">松山紹介_補綴価格表!B17</f>
        <v>110000</v>
      </c>
      <c r="D18" s="10" t="n">
        <f aca="false">B18*C18</f>
        <v>1320000</v>
      </c>
      <c r="E18" s="22" t="n">
        <f aca="false">IF(B18&lt;=5,0.1,IF(B18&lt;=9,0.15,0.2))</f>
        <v>0.2</v>
      </c>
      <c r="F18" s="10" t="n">
        <f aca="false">ROUND(C18*(1-E18),0)*B18</f>
        <v>1056000</v>
      </c>
      <c r="G18" s="30" t="n">
        <f aca="false">松山紹介_補綴価格表!D17*B18</f>
        <v>1056000</v>
      </c>
      <c r="H18" s="10" t="n">
        <f aca="false">D18-G18</f>
        <v>264000</v>
      </c>
      <c r="I18" s="31" t="n">
        <f aca="false">F18-G18</f>
        <v>0</v>
      </c>
      <c r="J18" s="10" t="n">
        <f aca="false">松山紹介_補綴価格表!F17*B18</f>
        <v>828000</v>
      </c>
      <c r="K18" s="22" t="n">
        <f aca="false">J18/G18</f>
        <v>0.784090909090909</v>
      </c>
    </row>
    <row r="20" customFormat="false" ht="14.9" hidden="false" customHeight="false" outlineLevel="0" collapsed="false">
      <c r="A20" s="9" t="s">
        <v>115</v>
      </c>
      <c r="B20" s="9"/>
      <c r="C20" s="9"/>
      <c r="D20" s="9"/>
      <c r="E20" s="9"/>
      <c r="F20" s="9"/>
      <c r="G20" s="9"/>
      <c r="H20" s="9"/>
      <c r="I20" s="9"/>
      <c r="J20" s="9"/>
      <c r="K20" s="9"/>
    </row>
    <row r="21" customFormat="false" ht="15" hidden="false" customHeight="false" outlineLevel="0" collapsed="false">
      <c r="A21" s="4" t="s">
        <v>116</v>
      </c>
      <c r="B21" s="10" t="n">
        <v>1</v>
      </c>
      <c r="C21" s="10" t="n">
        <f aca="false">松山紹介_矯正価格表!G12</f>
        <v>924000</v>
      </c>
      <c r="D21" s="10" t="n">
        <f aca="false">B21*C21</f>
        <v>924000</v>
      </c>
      <c r="E21" s="22" t="n">
        <v>0</v>
      </c>
      <c r="F21" s="10" t="n">
        <f aca="false">D21</f>
        <v>924000</v>
      </c>
      <c r="G21" s="30" t="n">
        <f aca="false">松山紹介_矯正価格表!H12*B21</f>
        <v>880000</v>
      </c>
      <c r="H21" s="10" t="n">
        <f aca="false">D21-G21</f>
        <v>44000</v>
      </c>
      <c r="I21" s="31" t="n">
        <f aca="false">F21-G21</f>
        <v>44000</v>
      </c>
      <c r="J21" s="10" t="n">
        <f aca="false">松山紹介_矯正価格表!K12*B21</f>
        <v>670800</v>
      </c>
      <c r="K21" s="22" t="n">
        <f aca="false">J21/G21</f>
        <v>0.762272727272727</v>
      </c>
    </row>
    <row r="22" customFormat="false" ht="15" hidden="false" customHeight="false" outlineLevel="0" collapsed="false">
      <c r="A22" s="4" t="s">
        <v>117</v>
      </c>
      <c r="B22" s="10" t="n">
        <v>1</v>
      </c>
      <c r="C22" s="10" t="n">
        <f aca="false">松山紹介_矯正価格表!G13</f>
        <v>591800</v>
      </c>
      <c r="D22" s="10" t="n">
        <f aca="false">B22*C22</f>
        <v>591800</v>
      </c>
      <c r="E22" s="22" t="n">
        <v>0</v>
      </c>
      <c r="F22" s="10" t="n">
        <f aca="false">D22</f>
        <v>591800</v>
      </c>
      <c r="G22" s="30" t="n">
        <f aca="false">松山紹介_矯正価格表!H13*B22</f>
        <v>547800</v>
      </c>
      <c r="H22" s="10" t="n">
        <f aca="false">D22-G22</f>
        <v>44000</v>
      </c>
      <c r="I22" s="31" t="n">
        <f aca="false">F22-G22</f>
        <v>44000</v>
      </c>
      <c r="J22" s="10" t="n">
        <f aca="false">松山紹介_矯正価格表!K13*B22</f>
        <v>377600</v>
      </c>
      <c r="K22" s="22" t="n">
        <f aca="false">J22/G22</f>
        <v>0.68930266520628</v>
      </c>
    </row>
    <row r="23" customFormat="false" ht="15" hidden="false" customHeight="false" outlineLevel="0" collapsed="false">
      <c r="A23" s="4" t="s">
        <v>118</v>
      </c>
      <c r="B23" s="10" t="n">
        <v>1</v>
      </c>
      <c r="C23" s="10" t="n">
        <f aca="false">松山紹介_矯正価格表!G15</f>
        <v>481800</v>
      </c>
      <c r="D23" s="10" t="n">
        <f aca="false">B23*C23</f>
        <v>481800</v>
      </c>
      <c r="E23" s="22" t="n">
        <v>0</v>
      </c>
      <c r="F23" s="10" t="n">
        <f aca="false">D23</f>
        <v>481800</v>
      </c>
      <c r="G23" s="30" t="n">
        <f aca="false">松山紹介_矯正価格表!H15*B23</f>
        <v>437800</v>
      </c>
      <c r="H23" s="10" t="n">
        <f aca="false">D23-G23</f>
        <v>44000</v>
      </c>
      <c r="I23" s="31" t="n">
        <f aca="false">F23-G23</f>
        <v>44000</v>
      </c>
      <c r="J23" s="10" t="n">
        <f aca="false">松山紹介_矯正価格表!K15*B23</f>
        <v>294120</v>
      </c>
      <c r="K23" s="22" t="n">
        <f aca="false">J23/G23</f>
        <v>0.671813613522156</v>
      </c>
    </row>
    <row r="24" customFormat="false" ht="15" hidden="false" customHeight="false" outlineLevel="0" collapsed="false">
      <c r="A24" s="4" t="s">
        <v>119</v>
      </c>
      <c r="B24" s="10" t="n">
        <v>1</v>
      </c>
      <c r="C24" s="10" t="n">
        <f aca="false">松山紹介_矯正価格表!G21</f>
        <v>594000</v>
      </c>
      <c r="D24" s="10" t="n">
        <f aca="false">B24*C24</f>
        <v>594000</v>
      </c>
      <c r="E24" s="22" t="n">
        <v>0</v>
      </c>
      <c r="F24" s="10" t="n">
        <f aca="false">D24</f>
        <v>594000</v>
      </c>
      <c r="G24" s="30" t="n">
        <f aca="false">松山紹介_矯正価格表!H21*B24</f>
        <v>550000</v>
      </c>
      <c r="H24" s="10" t="n">
        <f aca="false">D24-G24</f>
        <v>44000</v>
      </c>
      <c r="I24" s="31" t="n">
        <f aca="false">F24-G24</f>
        <v>44000</v>
      </c>
      <c r="J24" s="10" t="n">
        <f aca="false">松山紹介_矯正価格表!K21*B24</f>
        <v>387600</v>
      </c>
      <c r="K24" s="22" t="n">
        <f aca="false">J24/G24</f>
        <v>0.704727272727273</v>
      </c>
    </row>
    <row r="25" customFormat="false" ht="15" hidden="false" customHeight="false" outlineLevel="0" collapsed="false">
      <c r="A25" s="4" t="s">
        <v>120</v>
      </c>
      <c r="B25" s="10" t="n">
        <v>1</v>
      </c>
      <c r="C25" s="10" t="n">
        <f aca="false">松山紹介_矯正価格表!G24</f>
        <v>484000</v>
      </c>
      <c r="D25" s="10" t="n">
        <f aca="false">B25*C25</f>
        <v>484000</v>
      </c>
      <c r="E25" s="22" t="n">
        <v>0</v>
      </c>
      <c r="F25" s="10" t="n">
        <f aca="false">D25</f>
        <v>484000</v>
      </c>
      <c r="G25" s="30" t="n">
        <f aca="false">松山紹介_矯正価格表!H24*B25</f>
        <v>440000</v>
      </c>
      <c r="H25" s="10" t="n">
        <f aca="false">D25-G25</f>
        <v>44000</v>
      </c>
      <c r="I25" s="31" t="n">
        <f aca="false">F25-G25</f>
        <v>44000</v>
      </c>
      <c r="J25" s="10" t="n">
        <f aca="false">松山紹介_矯正価格表!K24*B25</f>
        <v>281500</v>
      </c>
      <c r="K25" s="22" t="n">
        <f aca="false">J25/G25</f>
        <v>0.639772727272727</v>
      </c>
    </row>
    <row r="27" customFormat="false" ht="14.9" hidden="false" customHeight="false" outlineLevel="0" collapsed="false">
      <c r="A27" s="17" t="s">
        <v>121</v>
      </c>
      <c r="B27" s="17"/>
      <c r="C27" s="17"/>
      <c r="D27" s="17"/>
      <c r="E27" s="17"/>
      <c r="F27" s="17"/>
      <c r="G27" s="17"/>
      <c r="H27" s="17"/>
      <c r="I27" s="17"/>
      <c r="J27" s="17"/>
      <c r="K27" s="17"/>
    </row>
    <row r="28" customFormat="false" ht="14.15" hidden="false" customHeight="false" outlineLevel="0" collapsed="false">
      <c r="A28" s="18" t="s">
        <v>122</v>
      </c>
      <c r="B28" s="18"/>
      <c r="C28" s="18"/>
      <c r="D28" s="18"/>
      <c r="E28" s="18"/>
      <c r="F28" s="18"/>
      <c r="G28" s="18"/>
      <c r="H28" s="18"/>
      <c r="I28" s="18"/>
      <c r="J28" s="18"/>
      <c r="K28" s="18"/>
    </row>
    <row r="29" customFormat="false" ht="14.15" hidden="false" customHeight="false" outlineLevel="0" collapsed="false">
      <c r="A29" s="23" t="s">
        <v>123</v>
      </c>
      <c r="B29" s="23"/>
      <c r="C29" s="23"/>
      <c r="D29" s="23"/>
      <c r="E29" s="23"/>
      <c r="F29" s="23"/>
      <c r="G29" s="23"/>
      <c r="H29" s="23"/>
      <c r="I29" s="23"/>
      <c r="J29" s="23"/>
      <c r="K29" s="23"/>
    </row>
    <row r="30" customFormat="false" ht="14.15" hidden="false" customHeight="false" outlineLevel="0" collapsed="false">
      <c r="A30" s="20" t="s">
        <v>124</v>
      </c>
      <c r="B30" s="20"/>
      <c r="C30" s="20"/>
      <c r="D30" s="20"/>
      <c r="E30" s="20"/>
      <c r="F30" s="20"/>
      <c r="G30" s="20"/>
      <c r="H30" s="20"/>
      <c r="I30" s="20"/>
      <c r="J30" s="20"/>
      <c r="K30" s="20"/>
    </row>
    <row r="31" customFormat="false" ht="14.15" hidden="false" customHeight="false" outlineLevel="0" collapsed="false">
      <c r="A31" s="20" t="s">
        <v>125</v>
      </c>
      <c r="B31" s="20"/>
      <c r="C31" s="20"/>
      <c r="D31" s="20"/>
      <c r="E31" s="20"/>
      <c r="F31" s="20"/>
      <c r="G31" s="20"/>
      <c r="H31" s="20"/>
      <c r="I31" s="20"/>
      <c r="J31" s="20"/>
      <c r="K31" s="20"/>
    </row>
    <row r="34" customFormat="false" ht="15" hidden="false" customHeight="false" outlineLevel="0" collapsed="false">
      <c r="A34" s="3" t="s">
        <v>126</v>
      </c>
      <c r="B34" s="3"/>
      <c r="C34" s="3"/>
      <c r="D34" s="3"/>
      <c r="E34" s="3"/>
      <c r="F34" s="3"/>
      <c r="G34" s="3"/>
      <c r="H34" s="3"/>
      <c r="I34" s="3"/>
      <c r="J34" s="3"/>
      <c r="K34" s="3"/>
    </row>
    <row r="35" customFormat="false" ht="33.75" hidden="false" customHeight="true" outlineLevel="0" collapsed="false">
      <c r="A35" s="8" t="s">
        <v>96</v>
      </c>
      <c r="B35" s="32" t="s">
        <v>127</v>
      </c>
      <c r="C35" s="8" t="s">
        <v>128</v>
      </c>
      <c r="D35" s="8" t="s">
        <v>129</v>
      </c>
      <c r="E35" s="8" t="s">
        <v>130</v>
      </c>
      <c r="F35" s="8" t="s">
        <v>131</v>
      </c>
      <c r="G35" s="8" t="s">
        <v>132</v>
      </c>
      <c r="H35" s="8" t="s">
        <v>133</v>
      </c>
      <c r="I35" s="8"/>
      <c r="J35" s="8"/>
      <c r="K35" s="8"/>
    </row>
    <row r="36" customFormat="false" ht="15" hidden="false" customHeight="false" outlineLevel="0" collapsed="false">
      <c r="A36" s="4" t="s">
        <v>107</v>
      </c>
      <c r="B36" s="28" t="n">
        <f aca="false">I11</f>
        <v>9900</v>
      </c>
      <c r="C36" s="33" t="n">
        <f aca="false">IF($B36=0,"負担ゼロ",ROUND(30000/$B36,1))</f>
        <v>3</v>
      </c>
      <c r="D36" s="33" t="n">
        <f aca="false">IF($B36=0,"負担ゼロ",ROUND(50000/$B36,1))</f>
        <v>5.1</v>
      </c>
      <c r="E36" s="33" t="n">
        <f aca="false">IF($B36=0,"負担ゼロ",ROUND(80000/$B36,1))</f>
        <v>8.1</v>
      </c>
      <c r="F36" s="33" t="n">
        <f aca="false">IF($B36=0,"負担ゼロ",ROUND(100000/$B36,1))</f>
        <v>10.1</v>
      </c>
      <c r="G36" s="33" t="n">
        <f aca="false">IF($B36=0,"負担ゼロ",ROUND(150000/$B36,1))</f>
        <v>15.2</v>
      </c>
      <c r="H36" s="34" t="n">
        <f aca="false">IF($B36=0,"負担ゼロ",ROUND($D$6/$B36,1))</f>
        <v>5.1</v>
      </c>
    </row>
    <row r="37" customFormat="false" ht="15" hidden="false" customHeight="false" outlineLevel="0" collapsed="false">
      <c r="A37" s="4" t="s">
        <v>108</v>
      </c>
      <c r="B37" s="28" t="n">
        <f aca="false">I12</f>
        <v>29700</v>
      </c>
      <c r="C37" s="33" t="n">
        <f aca="false">IF($B37=0,"負担ゼロ",ROUND(30000/$B37,1))</f>
        <v>1</v>
      </c>
      <c r="D37" s="33" t="n">
        <f aca="false">IF($B37=0,"負担ゼロ",ROUND(50000/$B37,1))</f>
        <v>1.7</v>
      </c>
      <c r="E37" s="33" t="n">
        <f aca="false">IF($B37=0,"負担ゼロ",ROUND(80000/$B37,1))</f>
        <v>2.7</v>
      </c>
      <c r="F37" s="33" t="n">
        <f aca="false">IF($B37=0,"負担ゼロ",ROUND(100000/$B37,1))</f>
        <v>3.4</v>
      </c>
      <c r="G37" s="33" t="n">
        <f aca="false">IF($B37=0,"負担ゼロ",ROUND(150000/$B37,1))</f>
        <v>5.1</v>
      </c>
      <c r="H37" s="34" t="n">
        <f aca="false">IF($B37=0,"負担ゼロ",ROUND($D$6/$B37,1))</f>
        <v>1.7</v>
      </c>
    </row>
    <row r="38" customFormat="false" ht="15" hidden="false" customHeight="false" outlineLevel="0" collapsed="false">
      <c r="A38" s="4" t="s">
        <v>111</v>
      </c>
      <c r="B38" s="28" t="n">
        <f aca="false">I15</f>
        <v>42900</v>
      </c>
      <c r="C38" s="33" t="n">
        <f aca="false">IF($B38=0,"負担ゼロ",ROUND(30000/$B38,1))</f>
        <v>0.7</v>
      </c>
      <c r="D38" s="33" t="n">
        <f aca="false">IF($B38=0,"負担ゼロ",ROUND(50000/$B38,1))</f>
        <v>1.2</v>
      </c>
      <c r="E38" s="33" t="n">
        <f aca="false">IF($B38=0,"負担ゼロ",ROUND(80000/$B38,1))</f>
        <v>1.9</v>
      </c>
      <c r="F38" s="33" t="n">
        <f aca="false">IF($B38=0,"負担ゼロ",ROUND(100000/$B38,1))</f>
        <v>2.3</v>
      </c>
      <c r="G38" s="33" t="n">
        <f aca="false">IF($B38=0,"負担ゼロ",ROUND(150000/$B38,1))</f>
        <v>3.5</v>
      </c>
      <c r="H38" s="34" t="n">
        <f aca="false">IF($B38=0,"負担ゼロ",ROUND($D$6/$B38,1))</f>
        <v>1.2</v>
      </c>
    </row>
    <row r="39" customFormat="false" ht="15" hidden="false" customHeight="false" outlineLevel="0" collapsed="false">
      <c r="A39" s="4" t="s">
        <v>114</v>
      </c>
      <c r="B39" s="28" t="n">
        <f aca="false">I18</f>
        <v>0</v>
      </c>
      <c r="C39" s="33" t="str">
        <f aca="false">IF($B39=0,"負担ゼロ",ROUND(30000/$B39,1))</f>
        <v>負担ゼロ</v>
      </c>
      <c r="D39" s="33" t="str">
        <f aca="false">IF($B39=0,"負担ゼロ",ROUND(50000/$B39,1))</f>
        <v>負担ゼロ</v>
      </c>
      <c r="E39" s="33" t="str">
        <f aca="false">IF($B39=0,"負担ゼロ",ROUND(80000/$B39,1))</f>
        <v>負担ゼロ</v>
      </c>
      <c r="F39" s="33" t="str">
        <f aca="false">IF($B39=0,"負担ゼロ",ROUND(100000/$B39,1))</f>
        <v>負担ゼロ</v>
      </c>
      <c r="G39" s="33" t="str">
        <f aca="false">IF($B39=0,"負担ゼロ",ROUND(150000/$B39,1))</f>
        <v>負担ゼロ</v>
      </c>
      <c r="H39" s="34" t="str">
        <f aca="false">IF($B39=0,"負担ゼロ",ROUND($D$6/$B39,1))</f>
        <v>負担ゼロ</v>
      </c>
    </row>
    <row r="40" customFormat="false" ht="15" hidden="false" customHeight="false" outlineLevel="0" collapsed="false">
      <c r="A40" s="4" t="s">
        <v>117</v>
      </c>
      <c r="B40" s="28" t="n">
        <f aca="false">I22</f>
        <v>44000</v>
      </c>
      <c r="C40" s="33" t="n">
        <f aca="false">IF($B40=0,"負担ゼロ",ROUND(30000/$B40,1))</f>
        <v>0.7</v>
      </c>
      <c r="D40" s="33" t="n">
        <f aca="false">IF($B40=0,"負担ゼロ",ROUND(50000/$B40,1))</f>
        <v>1.1</v>
      </c>
      <c r="E40" s="33" t="n">
        <f aca="false">IF($B40=0,"負担ゼロ",ROUND(80000/$B40,1))</f>
        <v>1.8</v>
      </c>
      <c r="F40" s="33" t="n">
        <f aca="false">IF($B40=0,"負担ゼロ",ROUND(100000/$B40,1))</f>
        <v>2.3</v>
      </c>
      <c r="G40" s="33" t="n">
        <f aca="false">IF($B40=0,"負担ゼロ",ROUND(150000/$B40,1))</f>
        <v>3.4</v>
      </c>
      <c r="H40" s="34" t="n">
        <f aca="false">IF($B40=0,"負担ゼロ",ROUND($D$6/$B40,1))</f>
        <v>1.1</v>
      </c>
    </row>
    <row r="41" customFormat="false" ht="15" hidden="false" customHeight="false" outlineLevel="0" collapsed="false">
      <c r="A41" s="24" t="s">
        <v>134</v>
      </c>
      <c r="B41" s="24"/>
      <c r="C41" s="24"/>
      <c r="D41" s="24"/>
      <c r="E41" s="24"/>
      <c r="F41" s="24"/>
      <c r="G41" s="24"/>
      <c r="H41" s="24"/>
      <c r="I41" s="24"/>
      <c r="J41" s="24"/>
      <c r="K41" s="24"/>
    </row>
    <row r="43" customFormat="false" ht="15" hidden="false" customHeight="false" outlineLevel="0" collapsed="false">
      <c r="A43" s="17" t="s">
        <v>135</v>
      </c>
      <c r="B43" s="17"/>
      <c r="C43" s="17"/>
      <c r="D43" s="17"/>
      <c r="E43" s="17"/>
      <c r="F43" s="17"/>
      <c r="G43" s="17"/>
      <c r="H43" s="17"/>
      <c r="I43" s="17"/>
      <c r="J43" s="17"/>
      <c r="K43" s="17"/>
    </row>
    <row r="44" customFormat="false" ht="14.15" hidden="false" customHeight="false" outlineLevel="0" collapsed="false">
      <c r="A44" s="20" t="s">
        <v>136</v>
      </c>
      <c r="B44" s="20"/>
      <c r="C44" s="20"/>
      <c r="D44" s="20"/>
      <c r="E44" s="20"/>
      <c r="F44" s="20"/>
      <c r="G44" s="20"/>
      <c r="H44" s="20"/>
      <c r="I44" s="20"/>
      <c r="J44" s="20"/>
      <c r="K44" s="20"/>
    </row>
    <row r="45" customFormat="false" ht="14.15" hidden="false" customHeight="false" outlineLevel="0" collapsed="false">
      <c r="A45" s="23" t="s">
        <v>137</v>
      </c>
      <c r="B45" s="23"/>
      <c r="C45" s="23"/>
      <c r="D45" s="23"/>
      <c r="E45" s="23"/>
      <c r="F45" s="23"/>
      <c r="G45" s="23"/>
      <c r="H45" s="23"/>
      <c r="I45" s="23"/>
      <c r="J45" s="23"/>
      <c r="K45" s="23"/>
    </row>
    <row r="46" customFormat="false" ht="15" hidden="false" customHeight="false" outlineLevel="0" collapsed="false">
      <c r="A46" s="19" t="s">
        <v>138</v>
      </c>
      <c r="B46" s="19"/>
      <c r="C46" s="19"/>
      <c r="D46" s="19"/>
      <c r="E46" s="19"/>
      <c r="F46" s="19"/>
      <c r="G46" s="19"/>
      <c r="H46" s="19"/>
      <c r="I46" s="19"/>
      <c r="J46" s="19"/>
      <c r="K46" s="19"/>
    </row>
  </sheetData>
  <mergeCells count="17">
    <mergeCell ref="A1:K1"/>
    <mergeCell ref="A2:K2"/>
    <mergeCell ref="A3:K3"/>
    <mergeCell ref="A5:K5"/>
    <mergeCell ref="A10:K10"/>
    <mergeCell ref="A20:K20"/>
    <mergeCell ref="A27:K27"/>
    <mergeCell ref="A28:K28"/>
    <mergeCell ref="A29:K29"/>
    <mergeCell ref="A30:K30"/>
    <mergeCell ref="A31:K31"/>
    <mergeCell ref="A34:K34"/>
    <mergeCell ref="A41:K41"/>
    <mergeCell ref="A43:K43"/>
    <mergeCell ref="A44:K44"/>
    <mergeCell ref="A45:K45"/>
    <mergeCell ref="A46:K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0"/>
  </cols>
  <sheetData>
    <row r="1" customFormat="false" ht="19.7" hidden="false" customHeight="false" outlineLevel="0" collapsed="false">
      <c r="A1" s="35" t="s">
        <v>139</v>
      </c>
    </row>
    <row r="2" customFormat="false" ht="15" hidden="false" customHeight="false" outlineLevel="0" collapsed="false">
      <c r="A2" s="6" t="s">
        <v>140</v>
      </c>
    </row>
    <row r="4" customFormat="false" ht="16.4" hidden="false" customHeight="false" outlineLevel="0" collapsed="false">
      <c r="A4" s="36" t="s">
        <v>141</v>
      </c>
    </row>
    <row r="5" customFormat="false" ht="15" hidden="false" customHeight="false" outlineLevel="0" collapsed="false">
      <c r="A5" s="4" t="s">
        <v>142</v>
      </c>
    </row>
    <row r="6" customFormat="false" ht="15" hidden="false" customHeight="false" outlineLevel="0" collapsed="false">
      <c r="A6" s="37" t="s">
        <v>143</v>
      </c>
    </row>
    <row r="7" customFormat="false" ht="15" hidden="false" customHeight="false" outlineLevel="0" collapsed="false">
      <c r="A7" s="37" t="s">
        <v>144</v>
      </c>
    </row>
    <row r="8" customFormat="false" ht="14.9" hidden="false" customHeight="false" outlineLevel="0" collapsed="false">
      <c r="A8" s="4" t="s">
        <v>145</v>
      </c>
    </row>
    <row r="9" customFormat="false" ht="14.9" hidden="false" customHeight="false" outlineLevel="0" collapsed="false">
      <c r="A9" s="4" t="s">
        <v>146</v>
      </c>
    </row>
    <row r="11" customFormat="false" ht="16.4" hidden="false" customHeight="false" outlineLevel="0" collapsed="false">
      <c r="A11" s="36" t="s">
        <v>147</v>
      </c>
    </row>
    <row r="12" customFormat="false" ht="14.9" hidden="false" customHeight="false" outlineLevel="0" collapsed="false">
      <c r="A12" s="4" t="s">
        <v>148</v>
      </c>
    </row>
    <row r="13" customFormat="false" ht="14.9" hidden="false" customHeight="false" outlineLevel="0" collapsed="false">
      <c r="A13" s="4" t="s">
        <v>149</v>
      </c>
    </row>
    <row r="14" customFormat="false" ht="14.9" hidden="false" customHeight="false" outlineLevel="0" collapsed="false">
      <c r="A14" s="4" t="s">
        <v>150</v>
      </c>
    </row>
    <row r="15" customFormat="false" ht="15" hidden="false" customHeight="false" outlineLevel="0" collapsed="false">
      <c r="A15" s="4" t="s">
        <v>151</v>
      </c>
    </row>
    <row r="17" customFormat="false" ht="16.4" hidden="false" customHeight="false" outlineLevel="0" collapsed="false">
      <c r="A17" s="36" t="s">
        <v>152</v>
      </c>
    </row>
    <row r="18" customFormat="false" ht="14.9" hidden="false" customHeight="false" outlineLevel="0" collapsed="false">
      <c r="A18" s="4" t="s">
        <v>153</v>
      </c>
    </row>
    <row r="19" customFormat="false" ht="14.9" hidden="false" customHeight="false" outlineLevel="0" collapsed="false">
      <c r="A19" s="4" t="s">
        <v>154</v>
      </c>
    </row>
    <row r="20" customFormat="false" ht="15" hidden="false" customHeight="false" outlineLevel="0" collapsed="false">
      <c r="A20" s="4" t="s">
        <v>155</v>
      </c>
    </row>
    <row r="22" customFormat="false" ht="16.4" hidden="false" customHeight="false" outlineLevel="0" collapsed="false">
      <c r="A22" s="36" t="s">
        <v>156</v>
      </c>
    </row>
    <row r="23" customFormat="false" ht="14.9" hidden="false" customHeight="false" outlineLevel="0" collapsed="false">
      <c r="A23" s="4" t="s">
        <v>157</v>
      </c>
    </row>
    <row r="24" customFormat="false" ht="15" hidden="false" customHeight="false" outlineLevel="0" collapsed="false">
      <c r="A24" s="4" t="s">
        <v>158</v>
      </c>
    </row>
    <row r="26" customFormat="false" ht="16.4" hidden="false" customHeight="false" outlineLevel="0" collapsed="false">
      <c r="A26" s="36" t="s">
        <v>159</v>
      </c>
    </row>
    <row r="27" customFormat="false" ht="15" hidden="false" customHeight="false" outlineLevel="0" collapsed="false">
      <c r="A27" s="4" t="s">
        <v>160</v>
      </c>
    </row>
    <row r="28" customFormat="false" ht="14.9" hidden="false" customHeight="false" outlineLevel="0" collapsed="false">
      <c r="A28" s="4" t="s">
        <v>161</v>
      </c>
    </row>
    <row r="29" customFormat="false" ht="14.9" hidden="false" customHeight="false" outlineLevel="0" collapsed="false">
      <c r="A29" s="4" t="s">
        <v>162</v>
      </c>
    </row>
    <row r="30" customFormat="false" ht="15" hidden="false" customHeight="false" outlineLevel="0" collapsed="false">
      <c r="A30" s="4" t="s">
        <v>163</v>
      </c>
    </row>
    <row r="32" customFormat="false" ht="16.4" hidden="false" customHeight="false" outlineLevel="0" collapsed="false">
      <c r="A32" s="36" t="s">
        <v>164</v>
      </c>
    </row>
    <row r="33" customFormat="false" ht="15" hidden="false" customHeight="false" outlineLevel="0" collapsed="false">
      <c r="A33" s="4" t="s">
        <v>165</v>
      </c>
    </row>
    <row r="34" customFormat="false" ht="15" hidden="false" customHeight="false" outlineLevel="0" collapsed="false">
      <c r="A34" s="4" t="s">
        <v>166</v>
      </c>
    </row>
    <row r="35" customFormat="false" ht="15" hidden="false" customHeight="false" outlineLevel="0" collapsed="false">
      <c r="A35" s="4" t="s">
        <v>167</v>
      </c>
    </row>
    <row r="36" customFormat="false" ht="15" hidden="false" customHeight="false" outlineLevel="0" collapsed="false">
      <c r="A36" s="4" t="s">
        <v>168</v>
      </c>
    </row>
    <row r="38" customFormat="false" ht="16.4" hidden="false" customHeight="false" outlineLevel="0" collapsed="false">
      <c r="A38" s="36" t="s">
        <v>169</v>
      </c>
    </row>
    <row r="39" customFormat="false" ht="14.9" hidden="false" customHeight="false" outlineLevel="0" collapsed="false">
      <c r="A39" s="4" t="s">
        <v>170</v>
      </c>
    </row>
    <row r="40" customFormat="false" ht="15" hidden="false" customHeight="false" outlineLevel="0" collapsed="false">
      <c r="A40" s="4" t="s">
        <v>171</v>
      </c>
    </row>
    <row r="41" customFormat="false" ht="14.9" hidden="false" customHeight="false" outlineLevel="0" collapsed="false">
      <c r="A41" s="37"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2026-09-15T03:24:03Z</dcterms:created>
  <dc:creator>openpyxl</dc:creator>
  <dc:description/>
  <dc:language>en-US</dc:language>
  <cp:lastModifiedBy/>
  <dcterms:modified xsi:type="dcterms:W3CDTF">2026-09-15T03:24:03Z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